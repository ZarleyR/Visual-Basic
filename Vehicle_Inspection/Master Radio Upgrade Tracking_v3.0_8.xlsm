
<file path=[Content_Types].xml><?xml version="1.0" encoding="utf-8"?>
<Types xmlns="http://schemas.openxmlformats.org/package/2006/content-types"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drawings/drawing15.xml" ContentType="application/vnd.openxmlformats-officedocument.drawing+xml"/>
  <Override PartName="/xl/worksheets/sheet3.xml" ContentType="application/vnd.openxmlformats-officedocument.spreadsheetml.worksheet+xml"/>
  <Override PartName="/xl/charts/chart18.xml" ContentType="application/vnd.openxmlformats-officedocument.drawingml.chart+xml"/>
  <Override PartName="/xl/charts/chart27.xml" ContentType="application/vnd.openxmlformats-officedocument.drawingml.chart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chart38.xml" ContentType="application/vnd.openxmlformats-officedocument.drawingml.chart+xml"/>
  <Override PartName="/xl/charts/chart47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harts/chart16.xml" ContentType="application/vnd.openxmlformats-officedocument.drawingml.chart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drawings/drawing20.xml" ContentType="application/vnd.openxmlformats-officedocument.drawing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worksheets/sheet18.xml" ContentType="application/vnd.openxmlformats-officedocument.spreadsheetml.workshee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chart48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charts/chart28.xml" ContentType="application/vnd.openxmlformats-officedocument.drawingml.chart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chart46.xml" ContentType="application/vnd.openxmlformats-officedocument.drawingml.chart+xml"/>
  <Default Extension="vml" ContentType="application/vnd.openxmlformats-officedocument.vmlDrawing"/>
  <Override PartName="/xl/comments1.xml" ContentType="application/vnd.openxmlformats-officedocument.spreadsheetml.comments+xml"/>
  <Override PartName="/xl/charts/chart17.xml" ContentType="application/vnd.openxmlformats-officedocument.drawingml.chart+xml"/>
  <Override PartName="/xl/drawings/drawing12.xml" ContentType="application/vnd.openxmlformats-officedocument.drawing+xml"/>
  <Override PartName="/xl/charts/chart26.xml" ContentType="application/vnd.openxmlformats-officedocument.drawingml.chart+xml"/>
  <Override PartName="/xl/charts/chart35.xml" ContentType="application/vnd.openxmlformats-officedocument.drawingml.chart+xml"/>
  <Override PartName="/xl/charts/chart44.xml" ContentType="application/vnd.openxmlformats-officedocument.drawingml.char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drawings/drawing10.xml" ContentType="application/vnd.openxmlformats-officedocument.drawing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worksheets/sheet17.xml" ContentType="application/vnd.openxmlformats-officedocument.spreadsheetml.workshee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updateLinks="always" codeName="ThisWorkbook" defaultThemeVersion="124226"/>
  <bookViews>
    <workbookView xWindow="0" yWindow="795" windowWidth="23955" windowHeight="9120" tabRatio="715"/>
  </bookViews>
  <sheets>
    <sheet name="Main" sheetId="15" r:id="rId1"/>
    <sheet name="Vehicle Inspection" sheetId="16" state="hidden" r:id="rId2"/>
    <sheet name="Vehicle Metrics" sheetId="17" state="hidden" r:id="rId3"/>
    <sheet name="Tracking" sheetId="2" state="hidden" r:id="rId4"/>
    <sheet name="Metrics" sheetId="3" state="hidden" r:id="rId5"/>
    <sheet name="Inspection Failures" sheetId="5" state="hidden" r:id="rId6"/>
    <sheet name="Channel Test Mode Failures" sheetId="6" state="hidden" r:id="rId7"/>
    <sheet name="NGTS Total Metrics" sheetId="4" state="hidden" r:id="rId8"/>
    <sheet name="5100X NGTS Metrics" sheetId="9" state="hidden" r:id="rId9"/>
    <sheet name="5100ES NGTS Metrics" sheetId="7" state="hidden" r:id="rId10"/>
    <sheet name="51Ascend NGTS Metrics" sheetId="12" state="hidden" r:id="rId11"/>
    <sheet name="Viking Portable NGTS Metrics" sheetId="20" state="hidden" r:id="rId12"/>
    <sheet name="5300X NGTS Metrics" sheetId="10" state="hidden" r:id="rId13"/>
    <sheet name="5300ES NGTS Metrics" sheetId="8" state="hidden" r:id="rId14"/>
    <sheet name="53Ascend NGTS Metrics" sheetId="13" state="hidden" r:id="rId15"/>
    <sheet name="Viking Mobile NGTS Metrics" sheetId="19" state="hidden" r:id="rId16"/>
    <sheet name="Completion Report" sheetId="14" state="hidden" r:id="rId17"/>
    <sheet name="Deployment Tracking" sheetId="21" state="hidden" r:id="rId18"/>
    <sheet name="Deployment Metrics" sheetId="22" state="hidden" r:id="rId19"/>
    <sheet name="Deployment Inspect. Failures" sheetId="23" state="hidden" r:id="rId20"/>
    <sheet name="Deploy. Chan. Test Failures" sheetId="24" state="hidden" r:id="rId21"/>
    <sheet name="User Admin" sheetId="25" state="hidden" r:id="rId22"/>
  </sheets>
  <externalReferences>
    <externalReference r:id="rId23"/>
  </externalReferences>
  <definedNames>
    <definedName name="_xlnm._FilterDatabase" localSheetId="4" hidden="1">Metrics!$A$3:$D$27</definedName>
    <definedName name="_xlnm._FilterDatabase" localSheetId="3" hidden="1">Tracking!$A$2:$AA$461</definedName>
    <definedName name="_xlnm._FilterDatabase" localSheetId="2" hidden="1">'Vehicle Metrics'!$A$3:$D$20</definedName>
    <definedName name="ListFillRange" localSheetId="0">Main!#REF!</definedName>
    <definedName name="ListFillRange">Tracking!$F$3:$F$5961</definedName>
    <definedName name="MyRange" localSheetId="9">Tracking!#REF!</definedName>
    <definedName name="MyRange" localSheetId="8">Tracking!#REF!</definedName>
    <definedName name="MyRange" localSheetId="10">Tracking!#REF!</definedName>
    <definedName name="MyRange" localSheetId="13">Tracking!#REF!</definedName>
    <definedName name="MyRange" localSheetId="12">Tracking!#REF!</definedName>
    <definedName name="MyRange" localSheetId="14">Tracking!#REF!</definedName>
    <definedName name="MyRange" localSheetId="6">Tracking!#REF!</definedName>
    <definedName name="MyRange" localSheetId="5">Tracking!#REF!</definedName>
    <definedName name="MyRange" localSheetId="0">Main!#REF!</definedName>
    <definedName name="MyRange" localSheetId="1">'Vehicle Inspection'!#REF!</definedName>
    <definedName name="MyRange" localSheetId="2">[1]Tracking!#REF!</definedName>
    <definedName name="MyRange" localSheetId="15">Tracking!#REF!</definedName>
    <definedName name="MyRange" localSheetId="11">Tracking!#REF!</definedName>
    <definedName name="MyRange">Tracking!#REF!</definedName>
    <definedName name="_xlnm.Print_Area" localSheetId="0">Main!#REF!</definedName>
    <definedName name="_xlnm.Print_Area" localSheetId="3">Tracking!$A$1:$O$2</definedName>
    <definedName name="_xlnm.Print_Area" localSheetId="1">'Vehicle Inspection'!$A$2:$S$2</definedName>
  </definedNames>
  <calcPr calcId="125725"/>
</workbook>
</file>

<file path=xl/calcChain.xml><?xml version="1.0" encoding="utf-8"?>
<calcChain xmlns="http://schemas.openxmlformats.org/spreadsheetml/2006/main">
  <c r="G9" i="2"/>
  <c r="A21" i="22"/>
  <c r="A26" i="24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B1"/>
  <c r="I1"/>
  <c r="A28" i="23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B1" i="22"/>
  <c r="B1" i="23"/>
  <c r="I1"/>
  <c r="A33" i="22"/>
  <c r="A32"/>
  <c r="A31"/>
  <c r="A29"/>
  <c r="A28"/>
  <c r="A27"/>
  <c r="A26"/>
  <c r="A24"/>
  <c r="A22"/>
  <c r="A20"/>
  <c r="A19"/>
  <c r="A17"/>
  <c r="A16"/>
  <c r="A9"/>
  <c r="A10"/>
  <c r="A6" s="1"/>
  <c r="N1" i="21" s="1"/>
  <c r="A15" i="22"/>
  <c r="A14"/>
  <c r="A13"/>
  <c r="A12"/>
  <c r="B1" i="21"/>
  <c r="I1" i="22"/>
  <c r="A25" i="3"/>
  <c r="A12"/>
  <c r="A24" i="20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I1"/>
  <c r="B1"/>
  <c r="A28" i="19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I1"/>
  <c r="B1"/>
  <c r="Q457" i="2"/>
  <c r="Q460"/>
  <c r="Q458"/>
  <c r="Q461"/>
  <c r="N1" i="24" l="1"/>
  <c r="A25" i="22"/>
  <c r="O1"/>
  <c r="N1" i="23"/>
  <c r="A5" i="22"/>
  <c r="D1" i="24" s="1"/>
  <c r="A11" i="22"/>
  <c r="F1" i="24" s="1"/>
  <c r="Q459" i="2"/>
  <c r="Q456"/>
  <c r="D1" i="21" l="1"/>
  <c r="D1" i="22"/>
  <c r="D1" i="23"/>
  <c r="F1" i="21"/>
  <c r="F1" i="22"/>
  <c r="F1" i="23"/>
  <c r="Q443" i="2"/>
  <c r="G461"/>
  <c r="M461" s="1"/>
  <c r="G460"/>
  <c r="M460" s="1"/>
  <c r="G459"/>
  <c r="M459" s="1"/>
  <c r="G458"/>
  <c r="M458" s="1"/>
  <c r="G457"/>
  <c r="M457" s="1"/>
  <c r="G456"/>
  <c r="M456" s="1"/>
  <c r="Q454"/>
  <c r="Q455"/>
  <c r="Q452"/>
  <c r="Q453"/>
  <c r="Q445"/>
  <c r="Q451"/>
  <c r="Q450"/>
  <c r="G455"/>
  <c r="M455" s="1"/>
  <c r="G454"/>
  <c r="M454" s="1"/>
  <c r="Q448"/>
  <c r="Q449"/>
  <c r="G453"/>
  <c r="M453" s="1"/>
  <c r="Q447"/>
  <c r="G452"/>
  <c r="M452" s="1"/>
  <c r="Q446"/>
  <c r="G451"/>
  <c r="M451" s="1"/>
  <c r="Q442"/>
  <c r="G450"/>
  <c r="M450" s="1"/>
  <c r="Q444"/>
  <c r="G449"/>
  <c r="M449" s="1"/>
  <c r="G448"/>
  <c r="M448" s="1"/>
  <c r="G447"/>
  <c r="M447" s="1"/>
  <c r="G446"/>
  <c r="M446" s="1"/>
  <c r="G445"/>
  <c r="M445" s="1"/>
  <c r="G444"/>
  <c r="M444" s="1"/>
  <c r="G443"/>
  <c r="M443" s="1"/>
  <c r="G442"/>
  <c r="M442" s="1"/>
  <c r="Q441"/>
  <c r="Q440"/>
  <c r="Q439"/>
  <c r="G441"/>
  <c r="M441" s="1"/>
  <c r="Q438"/>
  <c r="G440"/>
  <c r="M440" s="1"/>
  <c r="G439"/>
  <c r="M439" s="1"/>
  <c r="G438"/>
  <c r="M438" s="1"/>
  <c r="Q437" l="1"/>
  <c r="Q436"/>
  <c r="Q435"/>
  <c r="Q434"/>
  <c r="Q272"/>
  <c r="Q273"/>
  <c r="Q274"/>
  <c r="Q275"/>
  <c r="Q276"/>
  <c r="Q277"/>
  <c r="Q278"/>
  <c r="Q279"/>
  <c r="Q280"/>
  <c r="Q433"/>
  <c r="G437"/>
  <c r="M437" s="1"/>
  <c r="G436"/>
  <c r="M436" s="1"/>
  <c r="G435"/>
  <c r="M435" s="1"/>
  <c r="G434"/>
  <c r="M434" s="1"/>
  <c r="G433"/>
  <c r="M433" s="1"/>
  <c r="Q432"/>
  <c r="Q431"/>
  <c r="G432"/>
  <c r="M432" s="1"/>
  <c r="Q430"/>
  <c r="Q429"/>
  <c r="G431"/>
  <c r="M431" s="1"/>
  <c r="Q428"/>
  <c r="Q425"/>
  <c r="Q424"/>
  <c r="Q427"/>
  <c r="G430"/>
  <c r="M430" s="1"/>
  <c r="G429"/>
  <c r="M429" s="1"/>
  <c r="G428"/>
  <c r="M428" s="1"/>
  <c r="Q421"/>
  <c r="Q423"/>
  <c r="Q422"/>
  <c r="G427"/>
  <c r="M427" s="1"/>
  <c r="Q426"/>
  <c r="Q418"/>
  <c r="Q417"/>
  <c r="Q419"/>
  <c r="Q416"/>
  <c r="Q420"/>
  <c r="G426"/>
  <c r="M426" s="1"/>
  <c r="G425"/>
  <c r="M425" s="1"/>
  <c r="G424"/>
  <c r="M424" s="1"/>
  <c r="G423"/>
  <c r="M423" s="1"/>
  <c r="G422"/>
  <c r="M422" s="1"/>
  <c r="G421"/>
  <c r="M421" s="1"/>
  <c r="Q415"/>
  <c r="G420"/>
  <c r="M420" s="1"/>
  <c r="G419"/>
  <c r="M419" s="1"/>
  <c r="G418"/>
  <c r="M418" s="1"/>
  <c r="G417"/>
  <c r="M417" s="1"/>
  <c r="G416"/>
  <c r="M416" s="1"/>
  <c r="Q414"/>
  <c r="Q413"/>
  <c r="G415"/>
  <c r="M415" s="1"/>
  <c r="Q410"/>
  <c r="Q408"/>
  <c r="Q412"/>
  <c r="Q411"/>
  <c r="G414"/>
  <c r="M414" s="1"/>
  <c r="G413"/>
  <c r="M413" s="1"/>
  <c r="Q409"/>
  <c r="Q407"/>
  <c r="G412"/>
  <c r="M412" s="1"/>
  <c r="G411"/>
  <c r="M411" s="1"/>
  <c r="G410"/>
  <c r="M410" s="1"/>
  <c r="G409"/>
  <c r="M409" s="1"/>
  <c r="G408"/>
  <c r="M408" s="1"/>
  <c r="G407"/>
  <c r="M407" s="1"/>
  <c r="Q406" l="1"/>
  <c r="Q405"/>
  <c r="G406"/>
  <c r="M406" s="1"/>
  <c r="G405"/>
  <c r="M405" s="1"/>
  <c r="Q404"/>
  <c r="Q403"/>
  <c r="Q402"/>
  <c r="G404"/>
  <c r="M404" s="1"/>
  <c r="G403"/>
  <c r="M403" s="1"/>
  <c r="G402"/>
  <c r="M402" s="1"/>
  <c r="Q400"/>
  <c r="Q401"/>
  <c r="Q399"/>
  <c r="Q398"/>
  <c r="G401"/>
  <c r="M401" s="1"/>
  <c r="Q397"/>
  <c r="G400"/>
  <c r="M400" s="1"/>
  <c r="G399"/>
  <c r="M399" s="1"/>
  <c r="G398"/>
  <c r="M398" s="1"/>
  <c r="G397"/>
  <c r="M397" s="1"/>
  <c r="Q396"/>
  <c r="Q395"/>
  <c r="Q394"/>
  <c r="G396"/>
  <c r="M396" s="1"/>
  <c r="G395"/>
  <c r="M395" s="1"/>
  <c r="G394"/>
  <c r="M394" s="1"/>
  <c r="Q393"/>
  <c r="Q392"/>
  <c r="Q391"/>
  <c r="G393"/>
  <c r="M393" s="1"/>
  <c r="G392"/>
  <c r="M392" s="1"/>
  <c r="G391"/>
  <c r="M391" s="1"/>
  <c r="Q390" l="1"/>
  <c r="Q389"/>
  <c r="Q388"/>
  <c r="G390"/>
  <c r="M390" s="1"/>
  <c r="G389"/>
  <c r="M389" s="1"/>
  <c r="G388"/>
  <c r="M388" s="1"/>
  <c r="Q387" l="1"/>
  <c r="Q386"/>
  <c r="G387"/>
  <c r="M387" s="1"/>
  <c r="G386"/>
  <c r="M386" s="1"/>
  <c r="Q385"/>
  <c r="G385"/>
  <c r="M385" s="1"/>
  <c r="Q384"/>
  <c r="G384"/>
  <c r="M384" s="1"/>
  <c r="Q383"/>
  <c r="Q382"/>
  <c r="Q380"/>
  <c r="Q381"/>
  <c r="Q379"/>
  <c r="G383"/>
  <c r="M383" s="1"/>
  <c r="G382"/>
  <c r="M382" s="1"/>
  <c r="G381"/>
  <c r="M381" s="1"/>
  <c r="G380"/>
  <c r="M380" s="1"/>
  <c r="G379"/>
  <c r="M379" s="1"/>
  <c r="Q377"/>
  <c r="Q378"/>
  <c r="Q376"/>
  <c r="Q375"/>
  <c r="G378"/>
  <c r="M378" s="1"/>
  <c r="G377"/>
  <c r="M377" s="1"/>
  <c r="G376"/>
  <c r="M376" s="1"/>
  <c r="G375"/>
  <c r="M375" s="1"/>
  <c r="Q370" l="1"/>
  <c r="Q373"/>
  <c r="Q368"/>
  <c r="Q366"/>
  <c r="Q367"/>
  <c r="Q372"/>
  <c r="Q369"/>
  <c r="Q371"/>
  <c r="Q374"/>
  <c r="Q364"/>
  <c r="Q362"/>
  <c r="Q360"/>
  <c r="Q359"/>
  <c r="Q363"/>
  <c r="Q361"/>
  <c r="Q365"/>
  <c r="G374"/>
  <c r="M374" s="1"/>
  <c r="G373"/>
  <c r="M373" s="1"/>
  <c r="G372"/>
  <c r="M372" s="1"/>
  <c r="G371"/>
  <c r="M371" s="1"/>
  <c r="G370"/>
  <c r="M370" s="1"/>
  <c r="G369"/>
  <c r="M369" s="1"/>
  <c r="G368"/>
  <c r="M368" s="1"/>
  <c r="G367"/>
  <c r="M367" s="1"/>
  <c r="G366"/>
  <c r="M366" s="1"/>
  <c r="G365"/>
  <c r="M365" s="1"/>
  <c r="G364"/>
  <c r="M364" s="1"/>
  <c r="G363"/>
  <c r="M363" s="1"/>
  <c r="G362"/>
  <c r="M362" s="1"/>
  <c r="G361"/>
  <c r="M361" s="1"/>
  <c r="G360"/>
  <c r="M360" s="1"/>
  <c r="G359"/>
  <c r="M359" s="1"/>
  <c r="Q358"/>
  <c r="G358"/>
  <c r="M358" s="1"/>
  <c r="Q357"/>
  <c r="G357"/>
  <c r="M357" s="1"/>
  <c r="Q300"/>
  <c r="Q355"/>
  <c r="Q354"/>
  <c r="Q353"/>
  <c r="Q356"/>
  <c r="G300"/>
  <c r="M300" s="1"/>
  <c r="G356"/>
  <c r="M356" s="1"/>
  <c r="G355"/>
  <c r="M355" s="1"/>
  <c r="G354"/>
  <c r="M354" s="1"/>
  <c r="G353"/>
  <c r="M353" s="1"/>
  <c r="Q352"/>
  <c r="Q346"/>
  <c r="Q344"/>
  <c r="Q350"/>
  <c r="Q349"/>
  <c r="Q343"/>
  <c r="Q351"/>
  <c r="Q348"/>
  <c r="Q342"/>
  <c r="Q345"/>
  <c r="Q347"/>
  <c r="Q341"/>
  <c r="G352"/>
  <c r="M352" s="1"/>
  <c r="G351"/>
  <c r="M351" s="1"/>
  <c r="G350"/>
  <c r="M350" s="1"/>
  <c r="G349"/>
  <c r="M349" s="1"/>
  <c r="G348"/>
  <c r="M348" s="1"/>
  <c r="G347"/>
  <c r="M347" s="1"/>
  <c r="G346"/>
  <c r="M346" s="1"/>
  <c r="G345"/>
  <c r="M345" s="1"/>
  <c r="G344"/>
  <c r="M344" s="1"/>
  <c r="G343"/>
  <c r="M343" s="1"/>
  <c r="G342"/>
  <c r="M342" s="1"/>
  <c r="G341"/>
  <c r="M341" s="1"/>
  <c r="Q340" l="1"/>
  <c r="Q336"/>
  <c r="Q334"/>
  <c r="Q337"/>
  <c r="Q339"/>
  <c r="Q338"/>
  <c r="Q335"/>
  <c r="Q333"/>
  <c r="G340"/>
  <c r="M340" s="1"/>
  <c r="G339"/>
  <c r="M339" s="1"/>
  <c r="G338"/>
  <c r="M338" s="1"/>
  <c r="G337"/>
  <c r="M337" s="1"/>
  <c r="G336"/>
  <c r="M336" s="1"/>
  <c r="G335"/>
  <c r="M335" s="1"/>
  <c r="G334"/>
  <c r="M334" s="1"/>
  <c r="G333"/>
  <c r="M333" s="1"/>
  <c r="Q331"/>
  <c r="Q330"/>
  <c r="Q332"/>
  <c r="Q326"/>
  <c r="Q327"/>
  <c r="Q328"/>
  <c r="Q329"/>
  <c r="Q325"/>
  <c r="G332"/>
  <c r="M332" s="1"/>
  <c r="G331"/>
  <c r="M331" s="1"/>
  <c r="G330"/>
  <c r="M330" s="1"/>
  <c r="G329"/>
  <c r="M329" s="1"/>
  <c r="G328"/>
  <c r="M328" s="1"/>
  <c r="G327"/>
  <c r="M327" s="1"/>
  <c r="G326"/>
  <c r="M326" s="1"/>
  <c r="G325"/>
  <c r="M325" s="1"/>
  <c r="Q318" l="1"/>
  <c r="Q320"/>
  <c r="Q317"/>
  <c r="Q323"/>
  <c r="Q319"/>
  <c r="Q322"/>
  <c r="Q324"/>
  <c r="Q321"/>
  <c r="G324"/>
  <c r="M324" s="1"/>
  <c r="G323"/>
  <c r="M323" s="1"/>
  <c r="G322"/>
  <c r="M322" s="1"/>
  <c r="G321"/>
  <c r="M321" s="1"/>
  <c r="G320"/>
  <c r="M320" s="1"/>
  <c r="G319"/>
  <c r="M319" s="1"/>
  <c r="G318"/>
  <c r="M318" s="1"/>
  <c r="G317"/>
  <c r="M317" s="1"/>
  <c r="Q316"/>
  <c r="Q314"/>
  <c r="Q315"/>
  <c r="Q313"/>
  <c r="G316"/>
  <c r="M316" s="1"/>
  <c r="G315"/>
  <c r="M315" s="1"/>
  <c r="G314"/>
  <c r="M314" s="1"/>
  <c r="G313"/>
  <c r="M313" s="1"/>
  <c r="Q311"/>
  <c r="Q312"/>
  <c r="Q309"/>
  <c r="Q310"/>
  <c r="Q308"/>
  <c r="Q305"/>
  <c r="Q303"/>
  <c r="Q304"/>
  <c r="G312"/>
  <c r="M312" s="1"/>
  <c r="G311"/>
  <c r="M311" s="1"/>
  <c r="G310"/>
  <c r="M310" s="1"/>
  <c r="G309"/>
  <c r="M309" s="1"/>
  <c r="G308"/>
  <c r="M308" s="1"/>
  <c r="Q302"/>
  <c r="Q307"/>
  <c r="Q301"/>
  <c r="Q306"/>
  <c r="Q296"/>
  <c r="Q295"/>
  <c r="Q299"/>
  <c r="Q292"/>
  <c r="Q298"/>
  <c r="Q297"/>
  <c r="Q293"/>
  <c r="Q294"/>
  <c r="G307"/>
  <c r="M307" s="1"/>
  <c r="G306"/>
  <c r="M306" s="1"/>
  <c r="G305"/>
  <c r="M305" s="1"/>
  <c r="G304"/>
  <c r="M304" s="1"/>
  <c r="G303"/>
  <c r="M303" s="1"/>
  <c r="G302"/>
  <c r="M302" s="1"/>
  <c r="G301"/>
  <c r="M301" s="1"/>
  <c r="G299"/>
  <c r="M299" s="1"/>
  <c r="G298"/>
  <c r="M298" s="1"/>
  <c r="G297"/>
  <c r="M297" s="1"/>
  <c r="G296"/>
  <c r="M296" s="1"/>
  <c r="G295"/>
  <c r="M295" s="1"/>
  <c r="G294"/>
  <c r="M294" s="1"/>
  <c r="G293"/>
  <c r="M293" s="1"/>
  <c r="G292"/>
  <c r="M292" s="1"/>
  <c r="G291" l="1"/>
  <c r="M291" s="1"/>
  <c r="Q291"/>
  <c r="Q290" l="1"/>
  <c r="G290"/>
  <c r="M290" s="1"/>
  <c r="Q288"/>
  <c r="Q268"/>
  <c r="Q289"/>
  <c r="Q286"/>
  <c r="Q287"/>
  <c r="Q260"/>
  <c r="Q261"/>
  <c r="G289"/>
  <c r="M289" s="1"/>
  <c r="G288"/>
  <c r="M288" s="1"/>
  <c r="Q251"/>
  <c r="Q249"/>
  <c r="G287"/>
  <c r="M287" s="1"/>
  <c r="G286"/>
  <c r="M286" s="1"/>
  <c r="Q269"/>
  <c r="Q267"/>
  <c r="Q263"/>
  <c r="Q281"/>
  <c r="Q284"/>
  <c r="Q285"/>
  <c r="G285"/>
  <c r="M285" s="1"/>
  <c r="Q283"/>
  <c r="Q282"/>
  <c r="Q258"/>
  <c r="Q259"/>
  <c r="Q270"/>
  <c r="Q256"/>
  <c r="Q257"/>
  <c r="Q252"/>
  <c r="Q255"/>
  <c r="Q250"/>
  <c r="Q253"/>
  <c r="Q254"/>
  <c r="Q265"/>
  <c r="G284"/>
  <c r="M284" s="1"/>
  <c r="G283"/>
  <c r="M283" s="1"/>
  <c r="G282"/>
  <c r="M282" s="1"/>
  <c r="G281"/>
  <c r="M281" s="1"/>
  <c r="Q262" l="1"/>
  <c r="Q271"/>
  <c r="Q266" l="1"/>
  <c r="Q264"/>
  <c r="G280"/>
  <c r="M280" s="1"/>
  <c r="G279"/>
  <c r="M279" s="1"/>
  <c r="G278"/>
  <c r="M278" s="1"/>
  <c r="G277"/>
  <c r="M277" s="1"/>
  <c r="G276"/>
  <c r="M276" s="1"/>
  <c r="G275"/>
  <c r="M275" s="1"/>
  <c r="G274"/>
  <c r="M274" s="1"/>
  <c r="G273"/>
  <c r="M273" s="1"/>
  <c r="G272"/>
  <c r="M272" s="1"/>
  <c r="G271"/>
  <c r="M271" s="1"/>
  <c r="G270"/>
  <c r="M270" s="1"/>
  <c r="G269"/>
  <c r="M269" s="1"/>
  <c r="G268"/>
  <c r="M268" s="1"/>
  <c r="G267"/>
  <c r="M267" s="1"/>
  <c r="G266"/>
  <c r="M266" s="1"/>
  <c r="G265"/>
  <c r="M265" s="1"/>
  <c r="G264"/>
  <c r="M264" s="1"/>
  <c r="G263"/>
  <c r="M263" s="1"/>
  <c r="G262"/>
  <c r="M262" s="1"/>
  <c r="G261"/>
  <c r="M261" s="1"/>
  <c r="G260"/>
  <c r="M260" s="1"/>
  <c r="G259"/>
  <c r="M259" s="1"/>
  <c r="G258"/>
  <c r="M258" s="1"/>
  <c r="G257"/>
  <c r="M257" s="1"/>
  <c r="G256"/>
  <c r="M256" s="1"/>
  <c r="G255"/>
  <c r="M255" s="1"/>
  <c r="G254"/>
  <c r="M254" s="1"/>
  <c r="G253"/>
  <c r="M253" s="1"/>
  <c r="G252"/>
  <c r="M252" s="1"/>
  <c r="G251"/>
  <c r="M251" s="1"/>
  <c r="G250"/>
  <c r="M250" s="1"/>
  <c r="G249"/>
  <c r="M249" s="1"/>
  <c r="Q244" l="1"/>
  <c r="Q248"/>
  <c r="Q246"/>
  <c r="Q245"/>
  <c r="Q247"/>
  <c r="G248" l="1"/>
  <c r="M248" s="1"/>
  <c r="G247"/>
  <c r="M247" s="1"/>
  <c r="G246"/>
  <c r="M246" s="1"/>
  <c r="G245"/>
  <c r="M245" s="1"/>
  <c r="G244"/>
  <c r="M244" s="1"/>
  <c r="Q233"/>
  <c r="Q238"/>
  <c r="Q234"/>
  <c r="Q231"/>
  <c r="Q239"/>
  <c r="Q232"/>
  <c r="Q237"/>
  <c r="Q241"/>
  <c r="Q230"/>
  <c r="Q242"/>
  <c r="Q236"/>
  <c r="Q235"/>
  <c r="Q240"/>
  <c r="Q212"/>
  <c r="Q221"/>
  <c r="Q218"/>
  <c r="Q217"/>
  <c r="Q243"/>
  <c r="G243"/>
  <c r="M243" s="1"/>
  <c r="Q220"/>
  <c r="Q222"/>
  <c r="Q227"/>
  <c r="Q225"/>
  <c r="Q224"/>
  <c r="Q228"/>
  <c r="Q226"/>
  <c r="Q223"/>
  <c r="Q229"/>
  <c r="Q219"/>
  <c r="Q216"/>
  <c r="Q215"/>
  <c r="Q214"/>
  <c r="Q213"/>
  <c r="Q211"/>
  <c r="Q210"/>
  <c r="G242"/>
  <c r="M242" s="1"/>
  <c r="G241"/>
  <c r="M241" s="1"/>
  <c r="G240"/>
  <c r="M240" s="1"/>
  <c r="G239"/>
  <c r="M239" s="1"/>
  <c r="G238"/>
  <c r="M238" s="1"/>
  <c r="G237"/>
  <c r="M237" s="1"/>
  <c r="G236"/>
  <c r="M236" s="1"/>
  <c r="G235"/>
  <c r="M235" s="1"/>
  <c r="G234"/>
  <c r="M234" s="1"/>
  <c r="G233"/>
  <c r="M233" s="1"/>
  <c r="G232"/>
  <c r="M232" s="1"/>
  <c r="G231"/>
  <c r="M231" s="1"/>
  <c r="G230"/>
  <c r="M230" s="1"/>
  <c r="G229"/>
  <c r="M229" s="1"/>
  <c r="G228"/>
  <c r="M228" s="1"/>
  <c r="G227"/>
  <c r="M227" s="1"/>
  <c r="G226"/>
  <c r="M226" s="1"/>
  <c r="G225"/>
  <c r="M225" s="1"/>
  <c r="G224"/>
  <c r="M224" s="1"/>
  <c r="G223"/>
  <c r="M223" s="1"/>
  <c r="G222"/>
  <c r="M222" s="1"/>
  <c r="G221"/>
  <c r="M221" s="1"/>
  <c r="G220"/>
  <c r="M220" s="1"/>
  <c r="G219"/>
  <c r="M219" s="1"/>
  <c r="G218"/>
  <c r="M218" s="1"/>
  <c r="G217"/>
  <c r="M217" s="1"/>
  <c r="G216"/>
  <c r="M216" s="1"/>
  <c r="G215"/>
  <c r="M215" s="1"/>
  <c r="G214"/>
  <c r="M214" s="1"/>
  <c r="G213"/>
  <c r="M213" s="1"/>
  <c r="G212"/>
  <c r="M212" s="1"/>
  <c r="G211"/>
  <c r="M211" s="1"/>
  <c r="G210"/>
  <c r="M210" s="1"/>
  <c r="Q209" l="1"/>
  <c r="G209"/>
  <c r="M209" s="1"/>
  <c r="Q208"/>
  <c r="G208"/>
  <c r="M208" s="1"/>
  <c r="Q207"/>
  <c r="G207"/>
  <c r="M207" s="1"/>
  <c r="Q206"/>
  <c r="G206"/>
  <c r="M206" s="1"/>
  <c r="Q205"/>
  <c r="G205"/>
  <c r="M205" s="1"/>
  <c r="Q204"/>
  <c r="G204"/>
  <c r="M204" s="1"/>
  <c r="Q203"/>
  <c r="G203"/>
  <c r="M203" s="1"/>
  <c r="Q202"/>
  <c r="G202"/>
  <c r="M202" s="1"/>
  <c r="Q201"/>
  <c r="G201"/>
  <c r="M201" s="1"/>
  <c r="Q200"/>
  <c r="G200"/>
  <c r="M200" s="1"/>
  <c r="Q199"/>
  <c r="G199"/>
  <c r="M199" s="1"/>
  <c r="Q198"/>
  <c r="G198"/>
  <c r="M198" s="1"/>
  <c r="Q197"/>
  <c r="G197"/>
  <c r="M197" s="1"/>
  <c r="Q196"/>
  <c r="G196"/>
  <c r="M196" s="1"/>
  <c r="Q195"/>
  <c r="G195"/>
  <c r="M195" s="1"/>
  <c r="Q194"/>
  <c r="G194"/>
  <c r="M194" s="1"/>
  <c r="Q193"/>
  <c r="G193"/>
  <c r="M193" s="1"/>
  <c r="Q192"/>
  <c r="G192"/>
  <c r="M192" s="1"/>
  <c r="Q191"/>
  <c r="G191"/>
  <c r="M191" s="1"/>
  <c r="Q190"/>
  <c r="G190"/>
  <c r="M190" s="1"/>
  <c r="Q189"/>
  <c r="G189"/>
  <c r="M189" s="1"/>
  <c r="Q188"/>
  <c r="G188"/>
  <c r="M188" s="1"/>
  <c r="Q187"/>
  <c r="G187"/>
  <c r="M187" s="1"/>
  <c r="Q186"/>
  <c r="G186"/>
  <c r="M186" s="1"/>
  <c r="Q185"/>
  <c r="G185"/>
  <c r="M185" s="1"/>
  <c r="Q184"/>
  <c r="G184"/>
  <c r="M184" s="1"/>
  <c r="Q183"/>
  <c r="G183"/>
  <c r="M183" s="1"/>
  <c r="Q182"/>
  <c r="G182"/>
  <c r="M182" s="1"/>
  <c r="Q181"/>
  <c r="G181"/>
  <c r="M181" s="1"/>
  <c r="Q180"/>
  <c r="G180"/>
  <c r="M180" s="1"/>
  <c r="Q179"/>
  <c r="G179"/>
  <c r="M179" s="1"/>
  <c r="Q178"/>
  <c r="G178"/>
  <c r="M178" s="1"/>
  <c r="Q177"/>
  <c r="G177"/>
  <c r="M177" s="1"/>
  <c r="Q176"/>
  <c r="G176"/>
  <c r="M176" s="1"/>
  <c r="Q175"/>
  <c r="G175"/>
  <c r="M175" s="1"/>
  <c r="Q174"/>
  <c r="G174"/>
  <c r="M174" s="1"/>
  <c r="Q173"/>
  <c r="G173"/>
  <c r="M173" s="1"/>
  <c r="Q172"/>
  <c r="G172"/>
  <c r="M172" s="1"/>
  <c r="Q171"/>
  <c r="G171"/>
  <c r="M171" s="1"/>
  <c r="Q170"/>
  <c r="G170"/>
  <c r="M170" s="1"/>
  <c r="Q169"/>
  <c r="G169"/>
  <c r="M169" s="1"/>
  <c r="Q168"/>
  <c r="G168"/>
  <c r="M168" s="1"/>
  <c r="Q167"/>
  <c r="G167"/>
  <c r="M167" s="1"/>
  <c r="Q166"/>
  <c r="G166"/>
  <c r="M166" s="1"/>
  <c r="Q165"/>
  <c r="G165"/>
  <c r="M165" s="1"/>
  <c r="Q164"/>
  <c r="G164"/>
  <c r="M164" s="1"/>
  <c r="Q163"/>
  <c r="G163"/>
  <c r="M163" s="1"/>
  <c r="Q162"/>
  <c r="G162"/>
  <c r="M162" s="1"/>
  <c r="Q161"/>
  <c r="G161"/>
  <c r="M161" s="1"/>
  <c r="Q160"/>
  <c r="G160"/>
  <c r="M160" s="1"/>
  <c r="Q159"/>
  <c r="G159"/>
  <c r="M159" s="1"/>
  <c r="Q158"/>
  <c r="G158"/>
  <c r="M158" s="1"/>
  <c r="Q157"/>
  <c r="G157"/>
  <c r="M157" s="1"/>
  <c r="Q156"/>
  <c r="G156"/>
  <c r="M156" s="1"/>
  <c r="Q155"/>
  <c r="G155"/>
  <c r="M155" s="1"/>
  <c r="Q154"/>
  <c r="G154"/>
  <c r="M154" s="1"/>
  <c r="Q153"/>
  <c r="G153"/>
  <c r="M153" s="1"/>
  <c r="Q152"/>
  <c r="G152"/>
  <c r="M152" s="1"/>
  <c r="Q151"/>
  <c r="G151"/>
  <c r="M151" s="1"/>
  <c r="Q150"/>
  <c r="G150"/>
  <c r="M150" s="1"/>
  <c r="Q149"/>
  <c r="G149"/>
  <c r="M149" s="1"/>
  <c r="Q148"/>
  <c r="G148"/>
  <c r="M148" s="1"/>
  <c r="Q147"/>
  <c r="G147"/>
  <c r="M147" s="1"/>
  <c r="Q146"/>
  <c r="G146"/>
  <c r="M146" s="1"/>
  <c r="Q145"/>
  <c r="G145"/>
  <c r="M145" s="1"/>
  <c r="Q144"/>
  <c r="G144"/>
  <c r="M144" s="1"/>
  <c r="Q143"/>
  <c r="G143"/>
  <c r="M143" s="1"/>
  <c r="Q142"/>
  <c r="G142"/>
  <c r="M142" s="1"/>
  <c r="Q141"/>
  <c r="G141"/>
  <c r="M141" s="1"/>
  <c r="Q140"/>
  <c r="G140"/>
  <c r="M140" s="1"/>
  <c r="Q139"/>
  <c r="G139"/>
  <c r="M139" s="1"/>
  <c r="Q138"/>
  <c r="G138"/>
  <c r="M138" s="1"/>
  <c r="Q137"/>
  <c r="G137"/>
  <c r="M137" s="1"/>
  <c r="Q136"/>
  <c r="G136"/>
  <c r="M136" s="1"/>
  <c r="Q135"/>
  <c r="G135"/>
  <c r="M135" s="1"/>
  <c r="Q134"/>
  <c r="G134"/>
  <c r="M134" s="1"/>
  <c r="Q133"/>
  <c r="G133"/>
  <c r="M133" s="1"/>
  <c r="Q132"/>
  <c r="G132"/>
  <c r="M132" s="1"/>
  <c r="Q131"/>
  <c r="G131"/>
  <c r="M131" s="1"/>
  <c r="Q130"/>
  <c r="G130"/>
  <c r="M130" s="1"/>
  <c r="Q129"/>
  <c r="G129"/>
  <c r="M129" s="1"/>
  <c r="Q128"/>
  <c r="G128"/>
  <c r="M128" s="1"/>
  <c r="Q127"/>
  <c r="G127"/>
  <c r="M127" s="1"/>
  <c r="Q126"/>
  <c r="G126"/>
  <c r="M126" s="1"/>
  <c r="Q125"/>
  <c r="G125"/>
  <c r="M125" s="1"/>
  <c r="Q124"/>
  <c r="G124"/>
  <c r="M124" s="1"/>
  <c r="Q123"/>
  <c r="G123"/>
  <c r="M123" s="1"/>
  <c r="Q122"/>
  <c r="G122"/>
  <c r="M122" s="1"/>
  <c r="Q121"/>
  <c r="G121"/>
  <c r="M121" s="1"/>
  <c r="Q120"/>
  <c r="G120"/>
  <c r="M120" s="1"/>
  <c r="Q119"/>
  <c r="G119"/>
  <c r="M119" s="1"/>
  <c r="Q118"/>
  <c r="G118"/>
  <c r="M118" s="1"/>
  <c r="Q117"/>
  <c r="G117"/>
  <c r="M117" s="1"/>
  <c r="Q116"/>
  <c r="G116"/>
  <c r="M116" s="1"/>
  <c r="Q115"/>
  <c r="G115"/>
  <c r="M115" s="1"/>
  <c r="Q114"/>
  <c r="G114"/>
  <c r="M114" s="1"/>
  <c r="Q113"/>
  <c r="G113"/>
  <c r="M113" s="1"/>
  <c r="Q112"/>
  <c r="G112"/>
  <c r="M112" s="1"/>
  <c r="Q111"/>
  <c r="G111"/>
  <c r="M111" s="1"/>
  <c r="Q110"/>
  <c r="G110"/>
  <c r="M110" s="1"/>
  <c r="Q109"/>
  <c r="G109"/>
  <c r="M109" s="1"/>
  <c r="Q108"/>
  <c r="G108"/>
  <c r="M108" s="1"/>
  <c r="Q107"/>
  <c r="G107"/>
  <c r="M107" s="1"/>
  <c r="Q106"/>
  <c r="G106"/>
  <c r="M106" s="1"/>
  <c r="Q105"/>
  <c r="G105"/>
  <c r="M105" s="1"/>
  <c r="Q104"/>
  <c r="G104"/>
  <c r="M104" s="1"/>
  <c r="Q103"/>
  <c r="G103"/>
  <c r="M103" s="1"/>
  <c r="Q102"/>
  <c r="G102"/>
  <c r="M102" s="1"/>
  <c r="Q101"/>
  <c r="G101"/>
  <c r="M101" s="1"/>
  <c r="Q100"/>
  <c r="G100"/>
  <c r="M100" s="1"/>
  <c r="Q99"/>
  <c r="G99"/>
  <c r="M99" s="1"/>
  <c r="Q98"/>
  <c r="G98"/>
  <c r="M98" s="1"/>
  <c r="Q97"/>
  <c r="G97"/>
  <c r="M97" s="1"/>
  <c r="Q96"/>
  <c r="G96"/>
  <c r="M96" s="1"/>
  <c r="Q95"/>
  <c r="G95"/>
  <c r="M95" s="1"/>
  <c r="Q94"/>
  <c r="G94"/>
  <c r="M94" s="1"/>
  <c r="Q93"/>
  <c r="G93"/>
  <c r="M93" s="1"/>
  <c r="Q92"/>
  <c r="G92"/>
  <c r="M92" s="1"/>
  <c r="Q91"/>
  <c r="G91"/>
  <c r="M91" s="1"/>
  <c r="Q90"/>
  <c r="G90"/>
  <c r="M90" s="1"/>
  <c r="Q89"/>
  <c r="G89"/>
  <c r="M89" s="1"/>
  <c r="Q88"/>
  <c r="G88"/>
  <c r="M88" s="1"/>
  <c r="Q87"/>
  <c r="G87"/>
  <c r="M87" s="1"/>
  <c r="Q86"/>
  <c r="G86"/>
  <c r="M86" s="1"/>
  <c r="Q85"/>
  <c r="G85"/>
  <c r="M85" s="1"/>
  <c r="Q84"/>
  <c r="G84"/>
  <c r="M84" s="1"/>
  <c r="Q83"/>
  <c r="G83"/>
  <c r="M83" s="1"/>
  <c r="Q82"/>
  <c r="G82"/>
  <c r="M82" s="1"/>
  <c r="Q81"/>
  <c r="G81"/>
  <c r="M81" s="1"/>
  <c r="Q80"/>
  <c r="G80"/>
  <c r="M80" s="1"/>
  <c r="Q79"/>
  <c r="G79"/>
  <c r="M79" s="1"/>
  <c r="Q78"/>
  <c r="G78"/>
  <c r="M78" s="1"/>
  <c r="Q77"/>
  <c r="G77"/>
  <c r="M77" s="1"/>
  <c r="Q76"/>
  <c r="G76"/>
  <c r="M76" s="1"/>
  <c r="Q75"/>
  <c r="G75"/>
  <c r="M75" s="1"/>
  <c r="Q74"/>
  <c r="G74"/>
  <c r="M74" s="1"/>
  <c r="Q73"/>
  <c r="G73"/>
  <c r="M73" s="1"/>
  <c r="Q72"/>
  <c r="G72"/>
  <c r="M72" s="1"/>
  <c r="Q71"/>
  <c r="G71"/>
  <c r="M71" s="1"/>
  <c r="Q70"/>
  <c r="G70"/>
  <c r="M70" s="1"/>
  <c r="Q69"/>
  <c r="G69"/>
  <c r="M69" s="1"/>
  <c r="Q68"/>
  <c r="G68"/>
  <c r="M68" s="1"/>
  <c r="Q67"/>
  <c r="G67"/>
  <c r="M67" s="1"/>
  <c r="Q66"/>
  <c r="G66"/>
  <c r="M66" s="1"/>
  <c r="Q65"/>
  <c r="G65"/>
  <c r="M65" s="1"/>
  <c r="Q64"/>
  <c r="G64"/>
  <c r="M64" s="1"/>
  <c r="Q63"/>
  <c r="G63"/>
  <c r="M63" s="1"/>
  <c r="Q62"/>
  <c r="G62"/>
  <c r="M62" s="1"/>
  <c r="Q61"/>
  <c r="G61"/>
  <c r="M61" s="1"/>
  <c r="Q60"/>
  <c r="G60"/>
  <c r="M60" s="1"/>
  <c r="Q59"/>
  <c r="G59"/>
  <c r="M59" s="1"/>
  <c r="Q58"/>
  <c r="G58"/>
  <c r="M58" s="1"/>
  <c r="Q57"/>
  <c r="G57"/>
  <c r="M57" s="1"/>
  <c r="Q56"/>
  <c r="G56"/>
  <c r="M56" s="1"/>
  <c r="Q55"/>
  <c r="G55"/>
  <c r="M55" s="1"/>
  <c r="Q54"/>
  <c r="G54"/>
  <c r="M54" s="1"/>
  <c r="Q53"/>
  <c r="G53"/>
  <c r="M53" s="1"/>
  <c r="Q52"/>
  <c r="G52"/>
  <c r="M52" s="1"/>
  <c r="Q51"/>
  <c r="G51"/>
  <c r="M51" s="1"/>
  <c r="Q50"/>
  <c r="G50"/>
  <c r="M50" s="1"/>
  <c r="Q49"/>
  <c r="G49"/>
  <c r="M49" s="1"/>
  <c r="Q48"/>
  <c r="G48"/>
  <c r="M48" s="1"/>
  <c r="Q47"/>
  <c r="G47"/>
  <c r="M47" s="1"/>
  <c r="Q46"/>
  <c r="G46"/>
  <c r="M46" s="1"/>
  <c r="Q45"/>
  <c r="G45"/>
  <c r="M45" s="1"/>
  <c r="Q44"/>
  <c r="G44"/>
  <c r="M44" s="1"/>
  <c r="Q43"/>
  <c r="G43"/>
  <c r="M43" s="1"/>
  <c r="Q42"/>
  <c r="G42"/>
  <c r="M42" s="1"/>
  <c r="Q41"/>
  <c r="G41"/>
  <c r="M41" s="1"/>
  <c r="Q40"/>
  <c r="G40"/>
  <c r="M40" s="1"/>
  <c r="Q39"/>
  <c r="G39"/>
  <c r="M39" s="1"/>
  <c r="Q38"/>
  <c r="G38"/>
  <c r="M38" s="1"/>
  <c r="Q37"/>
  <c r="G37"/>
  <c r="M37" s="1"/>
  <c r="Q36"/>
  <c r="G36"/>
  <c r="M36" s="1"/>
  <c r="Q35"/>
  <c r="G35"/>
  <c r="M35" s="1"/>
  <c r="Q34"/>
  <c r="G34"/>
  <c r="M34" s="1"/>
  <c r="Q33"/>
  <c r="G33"/>
  <c r="M33" s="1"/>
  <c r="Q32"/>
  <c r="G32"/>
  <c r="M32" s="1"/>
  <c r="Q31"/>
  <c r="G31"/>
  <c r="M31" s="1"/>
  <c r="Q30"/>
  <c r="G30"/>
  <c r="M30" s="1"/>
  <c r="Q29"/>
  <c r="G29"/>
  <c r="M29" s="1"/>
  <c r="Q28"/>
  <c r="G28"/>
  <c r="M28" s="1"/>
  <c r="Q27"/>
  <c r="G27"/>
  <c r="M27" s="1"/>
  <c r="Q26"/>
  <c r="G26"/>
  <c r="M26" s="1"/>
  <c r="Q25"/>
  <c r="G25"/>
  <c r="M25" s="1"/>
  <c r="Q24"/>
  <c r="G24"/>
  <c r="M24" s="1"/>
  <c r="Q23"/>
  <c r="G23"/>
  <c r="M23" s="1"/>
  <c r="Q22"/>
  <c r="G22"/>
  <c r="M22" s="1"/>
  <c r="Q21"/>
  <c r="G21"/>
  <c r="M21" s="1"/>
  <c r="Q20"/>
  <c r="G20"/>
  <c r="M20" s="1"/>
  <c r="Q19"/>
  <c r="G19"/>
  <c r="M19" s="1"/>
  <c r="Q18"/>
  <c r="G18"/>
  <c r="M18" s="1"/>
  <c r="Q17"/>
  <c r="G17"/>
  <c r="M17" s="1"/>
  <c r="Q16"/>
  <c r="G16"/>
  <c r="M16" s="1"/>
  <c r="Q15"/>
  <c r="G15"/>
  <c r="M15" s="1"/>
  <c r="Q14"/>
  <c r="G14"/>
  <c r="M14" s="1"/>
  <c r="Q13"/>
  <c r="G13"/>
  <c r="M13" s="1"/>
  <c r="Q12"/>
  <c r="G12"/>
  <c r="M12" s="1"/>
  <c r="Q11"/>
  <c r="G11"/>
  <c r="M11" s="1"/>
  <c r="Q10"/>
  <c r="G10"/>
  <c r="M10" s="1"/>
  <c r="Q9"/>
  <c r="M9"/>
  <c r="Q8"/>
  <c r="G8"/>
  <c r="M8" s="1"/>
  <c r="Q7"/>
  <c r="G7"/>
  <c r="M7" s="1"/>
  <c r="Q6"/>
  <c r="G6"/>
  <c r="M6" s="1"/>
  <c r="Q5"/>
  <c r="G5"/>
  <c r="M5" s="1"/>
  <c r="Q4"/>
  <c r="G4"/>
  <c r="M4" s="1"/>
  <c r="Q3"/>
  <c r="G3"/>
  <c r="M3" s="1"/>
  <c r="B1" i="17" l="1"/>
  <c r="I1"/>
  <c r="A6"/>
  <c r="N1" s="1"/>
  <c r="A11" l="1"/>
  <c r="F1" s="1"/>
  <c r="A5"/>
  <c r="D1" s="1"/>
  <c r="A7"/>
  <c r="A65515"/>
  <c r="A28" i="13" l="1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24" i="12"/>
  <c r="A23"/>
  <c r="A22"/>
  <c r="A21"/>
  <c r="A20"/>
  <c r="A19"/>
  <c r="A18"/>
  <c r="A17"/>
  <c r="A16"/>
  <c r="A15"/>
  <c r="A14"/>
  <c r="A13"/>
  <c r="A12"/>
  <c r="A11"/>
  <c r="A10"/>
  <c r="A9"/>
  <c r="A7"/>
  <c r="A6"/>
  <c r="A5"/>
  <c r="A8"/>
  <c r="A4"/>
  <c r="B3" i="14"/>
  <c r="A32" i="3"/>
  <c r="A33"/>
  <c r="A34"/>
  <c r="A30"/>
  <c r="A29"/>
  <c r="A28"/>
  <c r="A22"/>
  <c r="A21"/>
  <c r="A18"/>
  <c r="A17"/>
  <c r="A20"/>
  <c r="A15"/>
  <c r="A16"/>
  <c r="A23"/>
  <c r="A15" i="6" l="1"/>
  <c r="A14"/>
  <c r="A13"/>
  <c r="A16"/>
  <c r="A12"/>
  <c r="D11" i="14"/>
  <c r="A13" i="3"/>
  <c r="D12" i="14" s="1"/>
  <c r="D7"/>
  <c r="E3"/>
  <c r="I1" i="13"/>
  <c r="B1"/>
  <c r="I1" i="12"/>
  <c r="B1"/>
  <c r="A20" i="7"/>
  <c r="B1" i="8"/>
  <c r="B1" i="10"/>
  <c r="B1" i="7"/>
  <c r="B1" i="9"/>
  <c r="B1" i="4"/>
  <c r="B1" i="6"/>
  <c r="B1" i="5"/>
  <c r="B1" i="3"/>
  <c r="B1" i="2"/>
  <c r="A4" i="8"/>
  <c r="A4" i="10"/>
  <c r="A28" i="8"/>
  <c r="A27"/>
  <c r="A26"/>
  <c r="A25"/>
  <c r="A22"/>
  <c r="A21"/>
  <c r="A19"/>
  <c r="A18"/>
  <c r="A17"/>
  <c r="A16"/>
  <c r="A15"/>
  <c r="A14"/>
  <c r="A24"/>
  <c r="A23"/>
  <c r="A20"/>
  <c r="A13"/>
  <c r="A12"/>
  <c r="A11"/>
  <c r="A10"/>
  <c r="A9"/>
  <c r="A8"/>
  <c r="A7"/>
  <c r="A6"/>
  <c r="A5"/>
  <c r="A28" i="10"/>
  <c r="A26"/>
  <c r="A22"/>
  <c r="A19"/>
  <c r="A17"/>
  <c r="A15"/>
  <c r="A13"/>
  <c r="A27"/>
  <c r="A25"/>
  <c r="A21"/>
  <c r="A18"/>
  <c r="A16"/>
  <c r="A14"/>
  <c r="A12"/>
  <c r="A11"/>
  <c r="A10"/>
  <c r="A24" i="7"/>
  <c r="A18"/>
  <c r="A15"/>
  <c r="A13"/>
  <c r="A11"/>
  <c r="A23"/>
  <c r="A17"/>
  <c r="A14"/>
  <c r="A12"/>
  <c r="A10"/>
  <c r="A24" i="9"/>
  <c r="A22"/>
  <c r="A18"/>
  <c r="A15"/>
  <c r="A13"/>
  <c r="A11"/>
  <c r="A9"/>
  <c r="A7"/>
  <c r="A23"/>
  <c r="A21"/>
  <c r="A17"/>
  <c r="A14"/>
  <c r="A12"/>
  <c r="A10"/>
  <c r="A8"/>
  <c r="A6"/>
  <c r="A24" i="10"/>
  <c r="A23"/>
  <c r="A20"/>
  <c r="A9"/>
  <c r="A8"/>
  <c r="A7"/>
  <c r="A6"/>
  <c r="A5"/>
  <c r="I1"/>
  <c r="A19" i="7"/>
  <c r="A16"/>
  <c r="A5"/>
  <c r="A4"/>
  <c r="A20" i="9"/>
  <c r="A15" i="4" s="1"/>
  <c r="A19" i="9"/>
  <c r="A16"/>
  <c r="A5"/>
  <c r="A4"/>
  <c r="A4" i="6"/>
  <c r="A50"/>
  <c r="A23"/>
  <c r="A24"/>
  <c r="A25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2"/>
  <c r="A21"/>
  <c r="A20"/>
  <c r="A19"/>
  <c r="A18"/>
  <c r="A17"/>
  <c r="A11"/>
  <c r="A10"/>
  <c r="A9"/>
  <c r="A8"/>
  <c r="A7"/>
  <c r="A6"/>
  <c r="A5"/>
  <c r="A28" i="5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27" i="3"/>
  <c r="D16" i="14" s="1"/>
  <c r="I1" i="8"/>
  <c r="I1" i="7"/>
  <c r="I1" i="9"/>
  <c r="I1" i="4"/>
  <c r="I1" i="6"/>
  <c r="I1" i="5"/>
  <c r="I1" i="3"/>
  <c r="A9"/>
  <c r="A10"/>
  <c r="A14"/>
  <c r="D13" i="14" s="1"/>
  <c r="E13" s="1"/>
  <c r="E16" l="1"/>
  <c r="E12"/>
  <c r="E11"/>
  <c r="A10" i="4"/>
  <c r="E33" i="14" s="1"/>
  <c r="F33" s="1"/>
  <c r="A7" i="4"/>
  <c r="E30" i="14" s="1"/>
  <c r="F30" s="1"/>
  <c r="A14" i="4"/>
  <c r="E37" i="14" s="1"/>
  <c r="F37" s="1"/>
  <c r="A8" i="4"/>
  <c r="E31" i="14" s="1"/>
  <c r="F31" s="1"/>
  <c r="A16" i="4"/>
  <c r="E39" i="14" s="1"/>
  <c r="F39" s="1"/>
  <c r="A17" i="4"/>
  <c r="E40" i="14" s="1"/>
  <c r="F40" s="1"/>
  <c r="A12" i="4"/>
  <c r="E35" i="14" s="1"/>
  <c r="F35" s="1"/>
  <c r="A11" i="4"/>
  <c r="E34" i="14" s="1"/>
  <c r="F34" s="1"/>
  <c r="A5" i="4"/>
  <c r="E28" i="14" s="1"/>
  <c r="F28" s="1"/>
  <c r="A9" i="4"/>
  <c r="E32" i="14" s="1"/>
  <c r="F32" s="1"/>
  <c r="A6" i="4"/>
  <c r="E29" i="14" s="1"/>
  <c r="F29" s="1"/>
  <c r="A18" i="4"/>
  <c r="E41" i="14" s="1"/>
  <c r="F41" s="1"/>
  <c r="A4" i="4"/>
  <c r="E27" i="14" s="1"/>
  <c r="F27" s="1"/>
  <c r="E38"/>
  <c r="F38" s="1"/>
  <c r="A20" i="4"/>
  <c r="E43" i="14" s="1"/>
  <c r="F43" s="1"/>
  <c r="A13" i="4"/>
  <c r="E36" i="14" s="1"/>
  <c r="F36" s="1"/>
  <c r="A19" i="4"/>
  <c r="E42" i="14" s="1"/>
  <c r="F42" s="1"/>
  <c r="A8" i="3"/>
  <c r="A65516" s="1"/>
  <c r="A11"/>
  <c r="A5"/>
  <c r="A6"/>
  <c r="F1" i="20" l="1"/>
  <c r="F1" i="19"/>
  <c r="D8" i="14"/>
  <c r="D1" i="19"/>
  <c r="D1" i="20"/>
  <c r="N1" i="19"/>
  <c r="N1" i="20"/>
  <c r="A7" i="3"/>
  <c r="D9" i="14"/>
  <c r="N1" i="2"/>
  <c r="D1" i="10"/>
  <c r="D1" i="13"/>
  <c r="D1" i="12"/>
  <c r="N1" i="10"/>
  <c r="N1" i="13"/>
  <c r="N1" i="12"/>
  <c r="F1" i="10"/>
  <c r="F1" i="12"/>
  <c r="F1" i="13"/>
  <c r="A26" i="3"/>
  <c r="D15" i="14" s="1"/>
  <c r="E15" s="1"/>
  <c r="D1" i="8"/>
  <c r="D1" i="7"/>
  <c r="D1" i="9"/>
  <c r="D1" i="4"/>
  <c r="D1" i="6"/>
  <c r="D1" i="5"/>
  <c r="F1" i="8"/>
  <c r="F1" i="7"/>
  <c r="F1" i="9"/>
  <c r="F1" i="4"/>
  <c r="F1" i="6"/>
  <c r="F1" i="5"/>
  <c r="N1" i="8"/>
  <c r="N1" i="7"/>
  <c r="N1" i="9"/>
  <c r="N1" i="4"/>
  <c r="N1" i="6"/>
  <c r="N1" i="5"/>
  <c r="F1" i="3"/>
  <c r="O1"/>
  <c r="D1"/>
  <c r="D1" i="2"/>
  <c r="F1"/>
  <c r="D21" i="14" l="1"/>
  <c r="E21" s="1"/>
  <c r="D19"/>
  <c r="E19" s="1"/>
  <c r="D24"/>
  <c r="E24" s="1"/>
  <c r="D23"/>
  <c r="E23" s="1"/>
  <c r="D20"/>
  <c r="E20" s="1"/>
  <c r="D22"/>
  <c r="E22" s="1"/>
  <c r="A8" i="22"/>
  <c r="A65515" s="1"/>
  <c r="A7" l="1"/>
</calcChain>
</file>

<file path=xl/comments1.xml><?xml version="1.0" encoding="utf-8"?>
<comments xmlns="http://schemas.openxmlformats.org/spreadsheetml/2006/main">
  <authors>
    <author>Allen Wentzel</author>
  </authors>
  <commentList>
    <comment ref="L248" authorId="0">
      <text>
        <r>
          <rPr>
            <b/>
            <sz val="9"/>
            <color indexed="81"/>
            <rFont val="Tahoma"/>
            <family val="2"/>
          </rPr>
          <t>Duplicate ID:</t>
        </r>
        <r>
          <rPr>
            <sz val="9"/>
            <color indexed="81"/>
            <rFont val="Tahoma"/>
            <family val="2"/>
          </rPr>
          <t xml:space="preserve">
6311</t>
        </r>
      </text>
    </comment>
    <comment ref="O258" authorId="0">
      <text>
        <r>
          <rPr>
            <b/>
            <sz val="9"/>
            <color indexed="81"/>
            <rFont val="Tahoma"/>
            <family val="2"/>
          </rPr>
          <t>Allen Wentzel:</t>
        </r>
        <r>
          <rPr>
            <sz val="9"/>
            <color indexed="81"/>
            <rFont val="Tahoma"/>
            <family val="2"/>
          </rPr>
          <t xml:space="preserve">
Retested 5 times on 4-14-14. Radio continued to fail even when optioned correctly.</t>
        </r>
      </text>
    </comment>
  </commentList>
</comments>
</file>

<file path=xl/sharedStrings.xml><?xml version="1.0" encoding="utf-8"?>
<sst xmlns="http://schemas.openxmlformats.org/spreadsheetml/2006/main" count="11969" uniqueCount="1923">
  <si>
    <t>Check In Date</t>
  </si>
  <si>
    <t>Check In Time</t>
  </si>
  <si>
    <t>Check Out Date</t>
  </si>
  <si>
    <t>Check Out Time</t>
  </si>
  <si>
    <t>Receipt Number</t>
  </si>
  <si>
    <t>Full SN</t>
  </si>
  <si>
    <t>5 Digit</t>
  </si>
  <si>
    <t>Model Number</t>
  </si>
  <si>
    <t>Original Application</t>
  </si>
  <si>
    <t>Updated Application</t>
  </si>
  <si>
    <t>Unit ID</t>
  </si>
  <si>
    <t>Dept/Location</t>
  </si>
  <si>
    <t>PC Config / Armada</t>
  </si>
  <si>
    <t>Codeplug Name</t>
  </si>
  <si>
    <t>Codeplug Updated</t>
  </si>
  <si>
    <t>Options Updated</t>
  </si>
  <si>
    <t>Total # of Radios  For Project</t>
  </si>
  <si>
    <t>Total # of Project Radios</t>
  </si>
  <si>
    <t>Total # of Radios Checked In</t>
  </si>
  <si>
    <t>Total # of Updated Radios</t>
  </si>
  <si>
    <t>Total # of Radios Re-optioned</t>
  </si>
  <si>
    <t>Description</t>
  </si>
  <si>
    <t>Totals</t>
  </si>
  <si>
    <t>Total # of Codeplug Updated</t>
  </si>
  <si>
    <t>Does Not Power Up</t>
  </si>
  <si>
    <t>Cracked Case</t>
  </si>
  <si>
    <t>Broken Display</t>
  </si>
  <si>
    <t>Bad Antenna</t>
  </si>
  <si>
    <t>Missing Volume Knob</t>
  </si>
  <si>
    <t>Missing Channel Knob</t>
  </si>
  <si>
    <t>Missing ABC Switch</t>
  </si>
  <si>
    <t>SMA Stripped</t>
  </si>
  <si>
    <t>Bad UDC</t>
  </si>
  <si>
    <t>Chassis Broken</t>
  </si>
  <si>
    <t>Channel Knob Bent</t>
  </si>
  <si>
    <t>Bad PTT</t>
  </si>
  <si>
    <t>Button Rubber Ripped or Missing</t>
  </si>
  <si>
    <t>Broken SMA Connector</t>
  </si>
  <si>
    <t>Broken Selector Ring</t>
  </si>
  <si>
    <t>Broken Volume Knob</t>
  </si>
  <si>
    <t>Broken Channel Knob</t>
  </si>
  <si>
    <t>Broken ABC Switch</t>
  </si>
  <si>
    <t>Missing Selector Ring</t>
  </si>
  <si>
    <t>Liquid Damage</t>
  </si>
  <si>
    <t>No Audio</t>
  </si>
  <si>
    <t>Volume Knob Bent</t>
  </si>
  <si>
    <t>Total # of Radios Left</t>
  </si>
  <si>
    <t>Total # of Radios Checked Out</t>
  </si>
  <si>
    <t>Total # of Radios Not Checked Out</t>
  </si>
  <si>
    <t>Total # of Radios Remaining</t>
  </si>
  <si>
    <t># of Radios Not Checked Out</t>
  </si>
  <si>
    <t>Total # of Radios with atleast one Failure</t>
  </si>
  <si>
    <t>Percentage Complete</t>
  </si>
  <si>
    <t>Project Completion</t>
  </si>
  <si>
    <t>Avg. Time of Completion</t>
  </si>
  <si>
    <t>Total Time</t>
  </si>
  <si>
    <t>Time of Completion  hh:mm:ss</t>
  </si>
  <si>
    <t>Total # of Individual Incidents Failures</t>
  </si>
  <si>
    <t>5100ES Failures</t>
  </si>
  <si>
    <t>MHz</t>
  </si>
  <si>
    <t>5300ES Failures</t>
  </si>
  <si>
    <t>5100X Failures</t>
  </si>
  <si>
    <t>NGTS Total Failures - All Radio Types Combined</t>
  </si>
  <si>
    <t>Rx Current Squelched</t>
  </si>
  <si>
    <t xml:space="preserve">NB Rx Audio Distortion </t>
  </si>
  <si>
    <t>Tune Tx Power</t>
  </si>
  <si>
    <t>Tune Modulation PASSED</t>
  </si>
  <si>
    <t>NB Rx Sensitivity Slow</t>
  </si>
  <si>
    <t>NB Rx Hum and Noise</t>
  </si>
  <si>
    <t xml:space="preserve">Tx Current at High Power </t>
  </si>
  <si>
    <t>Tx Frequency Error</t>
  </si>
  <si>
    <t xml:space="preserve">Tx Frequency Error </t>
  </si>
  <si>
    <t xml:space="preserve">NB Modulation Capability </t>
  </si>
  <si>
    <t>NB Modulation Capability</t>
  </si>
  <si>
    <t xml:space="preserve">Tx Modulation Fidelity - Lo Dev </t>
  </si>
  <si>
    <t xml:space="preserve">Tx Modulation Fidelity - Hi Dev </t>
  </si>
  <si>
    <t xml:space="preserve">BER </t>
  </si>
  <si>
    <t>Tx Modulation Fidelity</t>
  </si>
  <si>
    <t>Inspection Failures</t>
  </si>
  <si>
    <t>Out Of Range</t>
  </si>
  <si>
    <t>Could Not Upgrade</t>
  </si>
  <si>
    <t>Channel Test Mode Failures</t>
  </si>
  <si>
    <t>Side Button 1 Bad</t>
  </si>
  <si>
    <t>Side Button 2 Bad</t>
  </si>
  <si>
    <t>Side Button 3 Bad</t>
  </si>
  <si>
    <t>PTT Bad</t>
  </si>
  <si>
    <t>F1 Bad</t>
  </si>
  <si>
    <t>F2 Bad</t>
  </si>
  <si>
    <t>F3 Bad</t>
  </si>
  <si>
    <t>F4 Bad</t>
  </si>
  <si>
    <t>Up Rocker Bad</t>
  </si>
  <si>
    <t>Down Rocker Bad</t>
  </si>
  <si>
    <t>Volume Switch Bad</t>
  </si>
  <si>
    <t>Emergency Button Bad</t>
  </si>
  <si>
    <t>Keypad 1 Bad</t>
  </si>
  <si>
    <t>Keypad 2 Bad</t>
  </si>
  <si>
    <t>Keypad 3 Bad</t>
  </si>
  <si>
    <t>Keypad 4 Bad</t>
  </si>
  <si>
    <t>Keypad 5 Bad</t>
  </si>
  <si>
    <t>Keypad 6 Bad</t>
  </si>
  <si>
    <t>Keypad 7 Bad</t>
  </si>
  <si>
    <t>Keypad 8 Bad</t>
  </si>
  <si>
    <t>Keypad 9 Bad</t>
  </si>
  <si>
    <t>Keypad Asterisk Bad</t>
  </si>
  <si>
    <t>Keypad 0 Bad</t>
  </si>
  <si>
    <t>Keypad Number Sign Bad</t>
  </si>
  <si>
    <t>Channel Selector 1 Bad</t>
  </si>
  <si>
    <t>Channel Selector 2 Bad</t>
  </si>
  <si>
    <t>Channel Selector 3 Bad</t>
  </si>
  <si>
    <t>Channel Selector 4 Bad</t>
  </si>
  <si>
    <t>Channel Selector 5 Bad</t>
  </si>
  <si>
    <t>Channel Selector 6 Bad</t>
  </si>
  <si>
    <t>Channel Selector 7 Bad</t>
  </si>
  <si>
    <t>Channel Selector 8 Bad</t>
  </si>
  <si>
    <t>Channel Selector 9 Bad</t>
  </si>
  <si>
    <t>Channel Selector 10 Bad</t>
  </si>
  <si>
    <t>Channel Selector 11 Bad</t>
  </si>
  <si>
    <t>Channel Selector 12 Bad</t>
  </si>
  <si>
    <t>Channel Selector 13 Bad</t>
  </si>
  <si>
    <t>Channel Selector 14 Bad</t>
  </si>
  <si>
    <t>Channel Selector 15 Bad</t>
  </si>
  <si>
    <t>Channel Selector 16 Bad</t>
  </si>
  <si>
    <t>ABC Switch A Bad</t>
  </si>
  <si>
    <t>ABC Switch B Bad</t>
  </si>
  <si>
    <t>ABC Switch C Bad</t>
  </si>
  <si>
    <t>NB Set Rated Audio Level</t>
  </si>
  <si>
    <t>RX Current Squelched</t>
  </si>
  <si>
    <t>Tx Power at 13.6 Volts *Mobile Only</t>
  </si>
  <si>
    <t>Tune Modulation PASSED *Mobile Only</t>
  </si>
  <si>
    <t>Tx Power at 7.5 Volts *Portable Only</t>
  </si>
  <si>
    <t>Metrics</t>
  </si>
  <si>
    <t>NGTS Total Metrics</t>
  </si>
  <si>
    <t>5100X NGTS Metrics</t>
  </si>
  <si>
    <t>5100ES NGTS Metrics</t>
  </si>
  <si>
    <t>5300ES NGTS Metrics</t>
  </si>
  <si>
    <t>Current Veiw:</t>
  </si>
  <si>
    <t>Total # of X Portables</t>
  </si>
  <si>
    <t>Total # of ES Portables</t>
  </si>
  <si>
    <t>Tune Tx Frequency *Mobile Only</t>
  </si>
  <si>
    <t>Tune Squelch *Mobile Only</t>
  </si>
  <si>
    <t>Tune Tx Power *Mobile Only</t>
  </si>
  <si>
    <t>NB Rx Audio Distortion</t>
  </si>
  <si>
    <t>Tx Power at 7.5 Volts</t>
  </si>
  <si>
    <t>Tx Current at High Power</t>
  </si>
  <si>
    <t>BER</t>
  </si>
  <si>
    <t>Total # of X Mobiles</t>
  </si>
  <si>
    <t>Total # of ES Mobiles</t>
  </si>
  <si>
    <t>Tune Tx Frequency</t>
  </si>
  <si>
    <t>Tune Squelch</t>
  </si>
  <si>
    <t>Tx Power at 13.6 Volts</t>
  </si>
  <si>
    <t>5300X Failures</t>
  </si>
  <si>
    <t>Tx Modulation Fidelity Lo Dev</t>
  </si>
  <si>
    <t>Tx Modulation Fidelity Hi Dev</t>
  </si>
  <si>
    <t>51Ascend Failures</t>
  </si>
  <si>
    <t>53Ascend Failures</t>
  </si>
  <si>
    <t>Failures</t>
  </si>
  <si>
    <t>Accessories</t>
  </si>
  <si>
    <t>Total # of Ascend Mobiles</t>
  </si>
  <si>
    <t>Total # of Ascend Portable</t>
  </si>
  <si>
    <t>Total # of X Portables with atleast one Failure</t>
  </si>
  <si>
    <t>Total # of ES Portables with atleast one Failure</t>
  </si>
  <si>
    <t>Total # of Ascend Portables w/ atleast one Failure</t>
  </si>
  <si>
    <t>Total # of ES Mobiles with atleast one Failure</t>
  </si>
  <si>
    <t>Total # of X Mobiles with atleast one Failure</t>
  </si>
  <si>
    <t>Total # of Ascend Mobiles w/ atleast one Failure</t>
  </si>
  <si>
    <t>Start Date</t>
  </si>
  <si>
    <t>End Date</t>
  </si>
  <si>
    <t>Progress Report</t>
  </si>
  <si>
    <t>Total # of Radios in the Project:</t>
  </si>
  <si>
    <t>Total # of Radios still left:</t>
  </si>
  <si>
    <t>Total # of Codeplugs Updated</t>
  </si>
  <si>
    <t>Total # of Individual Failures</t>
  </si>
  <si>
    <t>Radios w/ atleast one Failure</t>
  </si>
  <si>
    <t>Radio with atleast one Failure</t>
  </si>
  <si>
    <t>X Portables</t>
  </si>
  <si>
    <t>ES Portables</t>
  </si>
  <si>
    <t>Ascend Portables</t>
  </si>
  <si>
    <t>Ascend Mobile</t>
  </si>
  <si>
    <t>X Mobile</t>
  </si>
  <si>
    <t xml:space="preserve">ES Mobile </t>
  </si>
  <si>
    <t>Field Service Representative:</t>
  </si>
  <si>
    <t>NGTS Reports</t>
  </si>
  <si>
    <t>F5 Bad</t>
  </si>
  <si>
    <t>F6 Bad</t>
  </si>
  <si>
    <t>Volume Knob Bad</t>
  </si>
  <si>
    <t>DSP Fail</t>
  </si>
  <si>
    <t>Channel Selector Bad</t>
  </si>
  <si>
    <t>4.14.5</t>
  </si>
  <si>
    <t>242-557D-810HA6P</t>
  </si>
  <si>
    <t>6.10.4</t>
  </si>
  <si>
    <t>6.16.18</t>
  </si>
  <si>
    <t>2.18.14</t>
  </si>
  <si>
    <t>Sebabwing Ambulance</t>
  </si>
  <si>
    <t xml:space="preserve">ANTENNA, BATTERY, CLIP, </t>
  </si>
  <si>
    <t>5170F2009C14199</t>
  </si>
  <si>
    <t xml:space="preserve">antenna, battery, clip, udc cover, </t>
  </si>
  <si>
    <t>242-5575-810HJ4P</t>
  </si>
  <si>
    <t xml:space="preserve">antenna, battery, </t>
  </si>
  <si>
    <t>5170F2409C15132</t>
  </si>
  <si>
    <t>5170F2509C16026</t>
  </si>
  <si>
    <t>6.16.10</t>
  </si>
  <si>
    <t>Owendale Fire</t>
  </si>
  <si>
    <t>5170F2509C15483</t>
  </si>
  <si>
    <t>5170F2509C15902</t>
  </si>
  <si>
    <t xml:space="preserve">ANTENNA, BATTERY, CLIP, UDC COVER, </t>
  </si>
  <si>
    <t>5170F2009C14147</t>
  </si>
  <si>
    <t>NA</t>
  </si>
  <si>
    <t>5170F2509C15588</t>
  </si>
  <si>
    <t>Elkton Fire</t>
  </si>
  <si>
    <t>5170F2509C15981</t>
  </si>
  <si>
    <t>5170F2509C15368</t>
  </si>
  <si>
    <t>Sebabwing Fire</t>
  </si>
  <si>
    <t>242-557D-810HJ4P</t>
  </si>
  <si>
    <t>5170F1909C13147</t>
  </si>
  <si>
    <t>5170F0812C45237</t>
  </si>
  <si>
    <t>242-557G-7731S6P</t>
  </si>
  <si>
    <t>5170F2009C13880</t>
  </si>
  <si>
    <t>6.10.5</t>
  </si>
  <si>
    <t>Elkton EMS</t>
  </si>
  <si>
    <t>5170F2409C15137</t>
  </si>
  <si>
    <t>Scheurer EMS</t>
  </si>
  <si>
    <t xml:space="preserve">ANTENNA, BATTERY, UDC COVER, </t>
  </si>
  <si>
    <t>5170F2509C15451</t>
  </si>
  <si>
    <t>5170F2509C15454</t>
  </si>
  <si>
    <t>ANTENNA, BATTERY, CLIP,</t>
  </si>
  <si>
    <t>5170F4108C83827</t>
  </si>
  <si>
    <t>2.10.2</t>
  </si>
  <si>
    <t>5570F0406T86149</t>
  </si>
  <si>
    <t>5570F0506T87763</t>
  </si>
  <si>
    <t>5570F0306T85126</t>
  </si>
  <si>
    <t>5570F0306T85091</t>
  </si>
  <si>
    <t>5570F0406T86151</t>
  </si>
  <si>
    <t>5570F0506T87758</t>
  </si>
  <si>
    <t>5570F3205T62562</t>
  </si>
  <si>
    <t>5570F0306T85142</t>
  </si>
  <si>
    <t>5570F0506T87769</t>
  </si>
  <si>
    <t>5570F4505T74864</t>
  </si>
  <si>
    <t>5570F2908C63141</t>
  </si>
  <si>
    <t>242-557D-810HS6P</t>
  </si>
  <si>
    <t>6.8.9</t>
  </si>
  <si>
    <t>Loaner Radio</t>
  </si>
  <si>
    <t xml:space="preserve">ANTENNA, BATTERY, </t>
  </si>
  <si>
    <t>5170F4108C83730</t>
  </si>
  <si>
    <t>5170F3509C17172</t>
  </si>
  <si>
    <t>242-557D-830HS6P</t>
  </si>
  <si>
    <t>6.12.4</t>
  </si>
  <si>
    <t>5170F3009C16895</t>
  </si>
  <si>
    <t>242-557E-810HA6P</t>
  </si>
  <si>
    <t xml:space="preserve">ANTENNA, BATTERY, UDC COVER, CLIP, </t>
  </si>
  <si>
    <t>5170F2909C16369</t>
  </si>
  <si>
    <t>5377H2809T78596</t>
  </si>
  <si>
    <t>242-557A-301AAAH6M</t>
  </si>
  <si>
    <t>6.10.6</t>
  </si>
  <si>
    <t>State Police</t>
  </si>
  <si>
    <t>5377H2910T97875</t>
  </si>
  <si>
    <t>6.12.5</t>
  </si>
  <si>
    <t>5377H2910T97899</t>
  </si>
  <si>
    <t>5377H2910T97865</t>
  </si>
  <si>
    <t>5377H2910T97882</t>
  </si>
  <si>
    <t>5377H2910T97804</t>
  </si>
  <si>
    <t>5377H2809T78655</t>
  </si>
  <si>
    <t>5377H2509T77820</t>
  </si>
  <si>
    <t>5377H2809T78727</t>
  </si>
  <si>
    <t>5377H2809T78586</t>
  </si>
  <si>
    <t>5377H2809T78673</t>
  </si>
  <si>
    <t>5377H2910T97819</t>
  </si>
  <si>
    <t>5377H2910T97848</t>
  </si>
  <si>
    <t>5378H2411C11644</t>
  </si>
  <si>
    <t>242-557A-30AAAAL6M</t>
  </si>
  <si>
    <t>6.16.3</t>
  </si>
  <si>
    <t>5378H2411C11491</t>
  </si>
  <si>
    <t>5378H2913C19635</t>
  </si>
  <si>
    <t>242-557A-50AAFAL6M</t>
  </si>
  <si>
    <t>5378H2411C11627</t>
  </si>
  <si>
    <t>5378H2411C11692</t>
  </si>
  <si>
    <t>5378H2913C19645</t>
  </si>
  <si>
    <t>5378H2411C11629</t>
  </si>
  <si>
    <t>5170F2509C15459</t>
  </si>
  <si>
    <t>Fairhaven PD</t>
  </si>
  <si>
    <t xml:space="preserve">ANTENNA, BATTERY, SHOULDER MIC, </t>
  </si>
  <si>
    <t>NB RX SENSITIVITY SLOW, NB RX SENSITIVITY SLOW, BER, BER,</t>
  </si>
  <si>
    <t>ANTENNA, BATTERY,</t>
  </si>
  <si>
    <t>5570F3205T61894</t>
  </si>
  <si>
    <t>5570F0506T87765</t>
  </si>
  <si>
    <t>Caseville PD</t>
  </si>
  <si>
    <t>5170F2509C15452</t>
  </si>
  <si>
    <t>5170F1909C13275</t>
  </si>
  <si>
    <t>5170F2509C15486</t>
  </si>
  <si>
    <t>5170F2509C15432</t>
  </si>
  <si>
    <t>5170F2509C15995</t>
  </si>
  <si>
    <t>Kinde PD</t>
  </si>
  <si>
    <t xml:space="preserve">NB Rx Sensitivity Slow, NB RX SENSITIVITY SLOW ,  BER, BER , </t>
  </si>
  <si>
    <t xml:space="preserve">NB RX SENSITIVITY SLOW, NB RX SENSITIVITY SLOW, NB RX AUDIO DISTORTION, NB RX AUDIO DISTORTION ,  BER, BER , </t>
  </si>
  <si>
    <t>242-5576-860HA4P</t>
  </si>
  <si>
    <t>ANTENNA, BATTERY, SHOULDER MIC</t>
  </si>
  <si>
    <t>Loaner Radio to Fire</t>
  </si>
  <si>
    <t>Loaner Radio to PD</t>
  </si>
  <si>
    <t>5170F3509C17261</t>
  </si>
  <si>
    <t>Loaner for Kinde PD</t>
  </si>
  <si>
    <t>5170F2409C15130</t>
  </si>
  <si>
    <t>Fairhaven Pd</t>
  </si>
  <si>
    <t>5170F2509C15658</t>
  </si>
  <si>
    <t>5170F4608C85712</t>
  </si>
  <si>
    <t>5570F3205T61742</t>
  </si>
  <si>
    <t>Elkton PD</t>
  </si>
  <si>
    <t>Pigeon PD</t>
  </si>
  <si>
    <t>5170F1709C12246</t>
  </si>
  <si>
    <t>242-557D-810HA4P</t>
  </si>
  <si>
    <t>5170F2009C14165</t>
  </si>
  <si>
    <t>5170F2009C13901</t>
  </si>
  <si>
    <t>5170F2009C13657</t>
  </si>
  <si>
    <t>Sebawaing PD</t>
  </si>
  <si>
    <t>5170F2509C15527</t>
  </si>
  <si>
    <t>5170F2109C14473</t>
  </si>
  <si>
    <t>5170F2409C15157</t>
  </si>
  <si>
    <t>5570F4405T74467</t>
  </si>
  <si>
    <t xml:space="preserve">MISSING VOLUME KNOB, MISSING SELECTOR RING, </t>
  </si>
  <si>
    <t>5170F2509C15436</t>
  </si>
  <si>
    <t>Harbor Beach PD</t>
  </si>
  <si>
    <t>5170F2509C15465</t>
  </si>
  <si>
    <t>5170F1909C13272</t>
  </si>
  <si>
    <t xml:space="preserve">UDC COVER, BATTERY, ANTENNA, </t>
  </si>
  <si>
    <t>5570F3305T62708</t>
  </si>
  <si>
    <t>242-5575-810HE4P</t>
  </si>
  <si>
    <t>5570F3205T61924</t>
  </si>
  <si>
    <t>5570F4305T73787</t>
  </si>
  <si>
    <t>Ubly PD</t>
  </si>
  <si>
    <t>5170F2409C15135</t>
  </si>
  <si>
    <t>5170F2109C14467</t>
  </si>
  <si>
    <t>5170f2009c13583</t>
  </si>
  <si>
    <t xml:space="preserve">ANTENNA, BATTERY, MOTOROLA SHOULDER MIC, </t>
  </si>
  <si>
    <t>5170F2009C14177</t>
  </si>
  <si>
    <t xml:space="preserve">ANTENNA, BATTERY, MOTOROLA SHOULDER MIC, CLIP, </t>
  </si>
  <si>
    <t>Elkton Pd</t>
  </si>
  <si>
    <t xml:space="preserve"> BER, BER , </t>
  </si>
  <si>
    <t>TUNE TX POWER</t>
  </si>
  <si>
    <t>5570F4305T73781</t>
  </si>
  <si>
    <t>Tune Modulation</t>
  </si>
  <si>
    <t>5570F4305T74047</t>
  </si>
  <si>
    <t>5170F3509C17905</t>
  </si>
  <si>
    <t>ANTENNA, BATTERY, UDC COVER</t>
  </si>
  <si>
    <t>NB RX SENSITIVITY SLOW, NB RX SENSITIVITY SLOW , BER ,  BER,</t>
  </si>
  <si>
    <t xml:space="preserve">NB RX SENSITIVITY SLOW, NB RX SENSITIVITY SLOW ,  BER, BER , </t>
  </si>
  <si>
    <t>Volume knob detent bad</t>
  </si>
  <si>
    <t>5170F2509C15647</t>
  </si>
  <si>
    <t>Port Austin PD</t>
  </si>
  <si>
    <t>5170F3009C16793</t>
  </si>
  <si>
    <t>242-557H-860HA6P</t>
  </si>
  <si>
    <t>5170F2409C15159</t>
  </si>
  <si>
    <t>5570F3205T61744</t>
  </si>
  <si>
    <t>5570F4305T73803</t>
  </si>
  <si>
    <t>5170F2509C15408</t>
  </si>
  <si>
    <t>Sheriff</t>
  </si>
  <si>
    <t>5170F2009C13630</t>
  </si>
  <si>
    <t>5170F2509C15717</t>
  </si>
  <si>
    <t>6.10.7</t>
  </si>
  <si>
    <t>5570F4305T74011</t>
  </si>
  <si>
    <t>5170F2509C15413</t>
  </si>
  <si>
    <t>Owendale PD</t>
  </si>
  <si>
    <t>5170F2409C15129</t>
  </si>
  <si>
    <t>Fairhaven Fire</t>
  </si>
  <si>
    <t>5170F2509C15646</t>
  </si>
  <si>
    <t>5170F2409C15131</t>
  </si>
  <si>
    <t xml:space="preserve">COULD NOT UPGRADE, BAD UDC, </t>
  </si>
  <si>
    <t>Replacement Radio</t>
  </si>
  <si>
    <t>5170F1713C50180</t>
  </si>
  <si>
    <t>242-557D-810IS6P</t>
  </si>
  <si>
    <t>5170F2509C15540</t>
  </si>
  <si>
    <t>Caseville TWP Fire</t>
  </si>
  <si>
    <t xml:space="preserve">ANTENNA, BATTERY, CLIP, SHOULDER MIC, </t>
  </si>
  <si>
    <t>5170F2409C15155</t>
  </si>
  <si>
    <t>5170F2509C15538</t>
  </si>
  <si>
    <t>5170F2509C15364</t>
  </si>
  <si>
    <t>5170F4410C26672</t>
  </si>
  <si>
    <t>6.14.5</t>
  </si>
  <si>
    <t>Tune TX Frequency</t>
  </si>
  <si>
    <t xml:space="preserve">PTT BAD, </t>
  </si>
  <si>
    <t xml:space="preserve">TX Modulation Fidelity Lo Dev, TX Modulation Fidelity Hi Dev, </t>
  </si>
  <si>
    <t>5170F2509C15978</t>
  </si>
  <si>
    <t>Tune TX Power</t>
  </si>
  <si>
    <t>ABC switch hard to move</t>
  </si>
  <si>
    <t>5170F3509C17157</t>
  </si>
  <si>
    <t>5170F2509C15651</t>
  </si>
  <si>
    <t>5170F2409C15151</t>
  </si>
  <si>
    <t>242-557D810HA6P</t>
  </si>
  <si>
    <t>Sigel Fire</t>
  </si>
  <si>
    <t>5170F2509C15601</t>
  </si>
  <si>
    <t>5170F2509C15943</t>
  </si>
  <si>
    <t>5170F2009C13755</t>
  </si>
  <si>
    <t>5170F4108C83917</t>
  </si>
  <si>
    <t>5170F2509C15667</t>
  </si>
  <si>
    <t>5170F2509C16025</t>
  </si>
  <si>
    <t>5570F0406T86147</t>
  </si>
  <si>
    <t>ESD ECO Applied</t>
  </si>
  <si>
    <t>ESD ECO applied</t>
  </si>
  <si>
    <t>Loaner Radio to Elkton PD</t>
  </si>
  <si>
    <t>5378H2411C11593</t>
  </si>
  <si>
    <t>5170F2509C15530</t>
  </si>
  <si>
    <t>Port Austin Fire</t>
  </si>
  <si>
    <t>5170F2009C14178</t>
  </si>
  <si>
    <t>5170F2509C15649</t>
  </si>
  <si>
    <t>5170F2509C15710</t>
  </si>
  <si>
    <t>5170F2808C60717</t>
  </si>
  <si>
    <t>Winsor Fire</t>
  </si>
  <si>
    <t>5170F2808C60775</t>
  </si>
  <si>
    <t>5170F2408C55515</t>
  </si>
  <si>
    <t>242-557G-870HS6P</t>
  </si>
  <si>
    <t>5170F2408C55449</t>
  </si>
  <si>
    <t>5170F2509C15379</t>
  </si>
  <si>
    <t xml:space="preserve">ANTENNA, BATTERY, CLIP,UDC COVER, </t>
  </si>
  <si>
    <t>5170F2509C15700</t>
  </si>
  <si>
    <t>5170F2009C13712</t>
  </si>
  <si>
    <t>5170F2409C15143</t>
  </si>
  <si>
    <t>5170F3008T65322</t>
  </si>
  <si>
    <t>5170F2808C60914</t>
  </si>
  <si>
    <t>5170F2009C14229</t>
  </si>
  <si>
    <t>Harbor Beach Fire</t>
  </si>
  <si>
    <t>5170F2509C15466</t>
  </si>
  <si>
    <t>5170F2009C14228</t>
  </si>
  <si>
    <t>5170F2509C16020</t>
  </si>
  <si>
    <t>5170F2009C14185</t>
  </si>
  <si>
    <t>5170F2009C13908</t>
  </si>
  <si>
    <t>5170F4108C83785</t>
  </si>
  <si>
    <t>5170F2009C14224</t>
  </si>
  <si>
    <t>ANTENNA, BATTERY, 271</t>
  </si>
  <si>
    <t>5170F2409C15165</t>
  </si>
  <si>
    <t>5570F2306T95098</t>
  </si>
  <si>
    <t>242-5574-810HF4P</t>
  </si>
  <si>
    <t>Total # of 51SL Portable</t>
  </si>
  <si>
    <t>Total # of 51SL Mobiles</t>
  </si>
  <si>
    <t>Comments</t>
  </si>
  <si>
    <t>Vehicle Number</t>
  </si>
  <si>
    <t>Current View:</t>
  </si>
  <si>
    <t>Total # of Radios Firmware Updated</t>
  </si>
  <si>
    <t>Model</t>
  </si>
  <si>
    <t>Make</t>
  </si>
  <si>
    <t>VIN</t>
  </si>
  <si>
    <t>Fuel Type</t>
  </si>
  <si>
    <t>Vehicle Horn</t>
  </si>
  <si>
    <t>Exterior Lights</t>
  </si>
  <si>
    <t>Interior Lights</t>
  </si>
  <si>
    <t>AM/FM Radio</t>
  </si>
  <si>
    <t>Truck Release</t>
  </si>
  <si>
    <t>Power Locks</t>
  </si>
  <si>
    <t>Power Windows</t>
  </si>
  <si>
    <t>Alt. Power Sources</t>
  </si>
  <si>
    <t>Interior Trim/Moldings</t>
  </si>
  <si>
    <t>Light Bar</t>
  </si>
  <si>
    <t>Siren</t>
  </si>
  <si>
    <t>Camera</t>
  </si>
  <si>
    <t>Backup Camera</t>
  </si>
  <si>
    <t>Gun Release</t>
  </si>
  <si>
    <t>Radar</t>
  </si>
  <si>
    <t>Laptop</t>
  </si>
  <si>
    <t>All Other Ancillary Equip.</t>
  </si>
  <si>
    <t>Intercoms / Headset</t>
  </si>
  <si>
    <t>Battery Chargers</t>
  </si>
  <si>
    <t>Remove All Weapons</t>
  </si>
  <si>
    <t>Remove Personal Items</t>
  </si>
  <si>
    <t>Picture of Trunk Taken</t>
  </si>
  <si>
    <t>Picutre of Remote CHs</t>
  </si>
  <si>
    <t>Battery Condition</t>
  </si>
  <si>
    <t>Mobile Location</t>
  </si>
  <si>
    <t>Mobile Appearance</t>
  </si>
  <si>
    <t>Antenna Location</t>
  </si>
  <si>
    <t>Antenna Acceptable</t>
  </si>
  <si>
    <t>Department</t>
  </si>
  <si>
    <t>POC</t>
  </si>
  <si>
    <t>Phone #</t>
  </si>
  <si>
    <t>Antenna Manufacture</t>
  </si>
  <si>
    <t>Antenna Model</t>
  </si>
  <si>
    <t>Antenna Mount</t>
  </si>
  <si>
    <t>Antenna Appearance</t>
  </si>
  <si>
    <t>Coax Spliced</t>
  </si>
  <si>
    <t>Shoreline Connection</t>
  </si>
  <si>
    <t>Mobile Bracket Grounded</t>
  </si>
  <si>
    <t>Ohms</t>
  </si>
  <si>
    <t>Mic Clip Grounded</t>
  </si>
  <si>
    <r>
      <t>Antenna Connector (</t>
    </r>
    <r>
      <rPr>
        <b/>
        <sz val="11"/>
        <color theme="1"/>
        <rFont val="Calibri"/>
        <family val="2"/>
      </rPr>
      <t>Ω)</t>
    </r>
    <r>
      <rPr>
        <b/>
        <sz val="11"/>
        <color theme="1"/>
        <rFont val="Calibri"/>
        <family val="2"/>
        <scheme val="minor"/>
      </rPr>
      <t xml:space="preserve"> connected to Mobile </t>
    </r>
  </si>
  <si>
    <t>Mobile Rear Connections Tight</t>
  </si>
  <si>
    <t>Power Cable Direct to Battery</t>
  </si>
  <si>
    <t>Plastic Ties</t>
  </si>
  <si>
    <t>Looming</t>
  </si>
  <si>
    <t>Acceptable</t>
  </si>
  <si>
    <t>Number of Splices</t>
  </si>
  <si>
    <t>Soldered</t>
  </si>
  <si>
    <t>Mobile Fuse Size</t>
  </si>
  <si>
    <t>Ignition Sense connection location</t>
  </si>
  <si>
    <t>Ignition Sense Spikes &lt; 24V</t>
  </si>
  <si>
    <t>Ignition Sense Fused</t>
  </si>
  <si>
    <t>Ignition Fuse Size</t>
  </si>
  <si>
    <t>Loom</t>
  </si>
  <si>
    <t>AC noice at Battery</t>
  </si>
  <si>
    <t>AC Noise at Mobile</t>
  </si>
  <si>
    <t>Power Up</t>
  </si>
  <si>
    <t>Radio ID</t>
  </si>
  <si>
    <t>ESN</t>
  </si>
  <si>
    <t>Head Version</t>
  </si>
  <si>
    <t>Controller Version</t>
  </si>
  <si>
    <t>Boot Version</t>
  </si>
  <si>
    <t>CPLD</t>
  </si>
  <si>
    <t>Head Address as Master</t>
  </si>
  <si>
    <t>Address</t>
  </si>
  <si>
    <t>Affiliate /  Register</t>
  </si>
  <si>
    <t>Transmit</t>
  </si>
  <si>
    <t>Forward Power</t>
  </si>
  <si>
    <t>Reflected Power</t>
  </si>
  <si>
    <t>Radio Check RX</t>
  </si>
  <si>
    <t>Receives</t>
  </si>
  <si>
    <t xml:space="preserve">NB RX AUDIO DISTORTION , </t>
  </si>
  <si>
    <t xml:space="preserve">NB RX SENSITIVITY SLOW, NB RX SENSITIVITY SLOW , TX MODUALTION FIDELITY LO DEV,  BER, BER , TX MODULATION FIDELITY , </t>
  </si>
  <si>
    <t>Missing lite pipe</t>
  </si>
  <si>
    <t>TX Mod Fidelity Lo Dev</t>
  </si>
  <si>
    <t>Low TX Volume</t>
  </si>
  <si>
    <t xml:space="preserve"> Tune TX Power, CRACKED CASE,</t>
  </si>
  <si>
    <t xml:space="preserve">TX MODULATION FIDELITY LO DEV, TX MODULATION HI DEV,  BER, BER , TX MODULATION FIDELITY , TX MODULATION FIDELITY , </t>
  </si>
  <si>
    <t>Loaner Radio to Sheriff</t>
  </si>
  <si>
    <t xml:space="preserve">NB SET RATED AUDIO LEVEL, </t>
  </si>
  <si>
    <t>TX MODULATION LO DEV</t>
  </si>
  <si>
    <t xml:space="preserve">NB MODULATION CAPABILITY, NB MODULATION CAPABILITY , TX MODULATION FIDELITY LO DEV, TX MODULATION FIDELITY , </t>
  </si>
  <si>
    <t xml:space="preserve">TX MODULATION FIDELITY , </t>
  </si>
  <si>
    <t>TX MODULATION FIDELITY LO DEV</t>
  </si>
  <si>
    <t>TUNE POWER</t>
  </si>
  <si>
    <t>TUNE SQUELCH</t>
  </si>
  <si>
    <t>NGTS COMMUNICATION ERROR</t>
  </si>
  <si>
    <t xml:space="preserve">NB RX SENSITIVITY SLOW, NB RX SENSITIVITY SLOW ,  BER, BER , CYCLE POWER, </t>
  </si>
  <si>
    <t>5170F2509C15930</t>
  </si>
  <si>
    <t>Port Hope Fire</t>
  </si>
  <si>
    <t>5170F2509C15339</t>
  </si>
  <si>
    <t>5170F4108C83840</t>
  </si>
  <si>
    <t>5170F1909C13197</t>
  </si>
  <si>
    <t>Radio Check bad with customer battery. Good with new battery.</t>
  </si>
  <si>
    <t>5170F2409C15124</t>
  </si>
  <si>
    <t>5170F1909C13352</t>
  </si>
  <si>
    <t>TX MODULATION FIDELITY HI DEV</t>
  </si>
  <si>
    <t>5170F2009C13575</t>
  </si>
  <si>
    <t>Kinde Fire</t>
  </si>
  <si>
    <t>5170F2009C13888</t>
  </si>
  <si>
    <t xml:space="preserve">ANTENNA, BATTERY, SHOULDER MIC, CLIP, </t>
  </si>
  <si>
    <t>5170F2509C15598</t>
  </si>
  <si>
    <t>5170F2509C15941</t>
  </si>
  <si>
    <t>5170F2509C15856</t>
  </si>
  <si>
    <t>5170F2009C13793</t>
  </si>
  <si>
    <t xml:space="preserve">CLIP, SHOULDER MIC, </t>
  </si>
  <si>
    <t>5570F0306T85069</t>
  </si>
  <si>
    <t>Central Huron EMS</t>
  </si>
  <si>
    <t>5570F0506T87768</t>
  </si>
  <si>
    <t xml:space="preserve">BATTERY, CLIP, </t>
  </si>
  <si>
    <t>5570F3305T62860</t>
  </si>
  <si>
    <t>5570F3305T62670</t>
  </si>
  <si>
    <t>5170F2009C14179</t>
  </si>
  <si>
    <t>5170F2409C15125</t>
  </si>
  <si>
    <t>Thumb EMS</t>
  </si>
  <si>
    <t>5570F0506T87753</t>
  </si>
  <si>
    <t>5570F0306T85049</t>
  </si>
  <si>
    <t>5570F5006T31677</t>
  </si>
  <si>
    <t>242-5574-810HE4P</t>
  </si>
  <si>
    <t>Eastern Huron EMS</t>
  </si>
  <si>
    <t xml:space="preserve">MOTOROLA ANTENNA, BATTERY, CLIP, UDC COVER, </t>
  </si>
  <si>
    <t>5570F5006T31678</t>
  </si>
  <si>
    <t>5570F2006T94715</t>
  </si>
  <si>
    <t>5170F2409C15173</t>
  </si>
  <si>
    <t>5170F2509C15536</t>
  </si>
  <si>
    <t>5170F0812C45557</t>
  </si>
  <si>
    <t>6.16.7</t>
  </si>
  <si>
    <t>5570F0506T87757</t>
  </si>
  <si>
    <t>5570F3205T62581</t>
  </si>
  <si>
    <t>5170F2509C15893</t>
  </si>
  <si>
    <t>HC Road Commission</t>
  </si>
  <si>
    <t>TUNE TX FREQUENCY</t>
  </si>
  <si>
    <t>5170F2808C60773</t>
  </si>
  <si>
    <t>5170F2009C14213</t>
  </si>
  <si>
    <t>5170F2009C13787</t>
  </si>
  <si>
    <t xml:space="preserve">NB RX SENSITIVITY SLOW, NB RX SENSITIVITY SLOW , TX POWER AT 7.5 VOLTS ,  BER, BER , </t>
  </si>
  <si>
    <t>5570F2908C63154</t>
  </si>
  <si>
    <t>5170F2009C13725</t>
  </si>
  <si>
    <t>5570F3205T61928</t>
  </si>
  <si>
    <t>TX TUNE POWER</t>
  </si>
  <si>
    <t>5570F3205T61941</t>
  </si>
  <si>
    <t>TUNE MODULATION</t>
  </si>
  <si>
    <t>5570F4505T74821</t>
  </si>
  <si>
    <t>5170F5110T30784</t>
  </si>
  <si>
    <t>Bad Axe Fire</t>
  </si>
  <si>
    <t>5170F0409T95859</t>
  </si>
  <si>
    <t>5170F4608C85716</t>
  </si>
  <si>
    <t>5170F2509C15589</t>
  </si>
  <si>
    <t>5170F5110T30844</t>
  </si>
  <si>
    <t>5170F4910T29453</t>
  </si>
  <si>
    <t>5170F2009C14182</t>
  </si>
  <si>
    <t>5170F4910T29556</t>
  </si>
  <si>
    <t>5170F2509C15595</t>
  </si>
  <si>
    <t>5170F4608C85770</t>
  </si>
  <si>
    <t>DNR</t>
  </si>
  <si>
    <t>5170F4608C85718</t>
  </si>
  <si>
    <t>5170F4608C85646</t>
  </si>
  <si>
    <t>5170F2009C14172</t>
  </si>
  <si>
    <t xml:space="preserve"> TUNE SQUELCH</t>
  </si>
  <si>
    <t>BUTTON RUBBER RIPPED OR MISSING,</t>
  </si>
  <si>
    <t>5170F2009C13546</t>
  </si>
  <si>
    <t>MISSING LITE PIPE</t>
  </si>
  <si>
    <t>5170F1709C11972</t>
  </si>
  <si>
    <t>5170F2009C13749</t>
  </si>
  <si>
    <t>BUTTON RUBBER RIPPED OR MISSING, MISSING CHANNEL KNOB, CRACKED CASE, DISPLAY PIXELS BAD</t>
  </si>
  <si>
    <t>5170F2509C15645</t>
  </si>
  <si>
    <t xml:space="preserve">TX MODULATION FIDELITY LO DEV, TX MODULATION FIDELITY HI DEV,  BER, BER , TX MODULATION FIDELITY, TX MODULATION FIDELITY , </t>
  </si>
  <si>
    <t xml:space="preserve">battery, antenna, </t>
  </si>
  <si>
    <t>5170F1709C12157</t>
  </si>
  <si>
    <t>5170F4608C85706</t>
  </si>
  <si>
    <t xml:space="preserve">NB RX SENSITIVITY SLOW, NB RX SENSITIVITY SLOW , TX MODULATION FIDELITY LO DEV,  BER, BER , </t>
  </si>
  <si>
    <t>MISSING PTT COVER</t>
  </si>
  <si>
    <t>5170F2509C15650</t>
  </si>
  <si>
    <t>TUNE SQUELCH,</t>
  </si>
  <si>
    <t xml:space="preserve"> DOES NOT ACCESS SYSTEM</t>
  </si>
  <si>
    <t>5170F2509C15602</t>
  </si>
  <si>
    <t>5170F1909C13449</t>
  </si>
  <si>
    <t>5170F2509C15337</t>
  </si>
  <si>
    <t>5570F3205T61922</t>
  </si>
  <si>
    <t>242-5574-820HF4P</t>
  </si>
  <si>
    <t>Huron County</t>
  </si>
  <si>
    <t xml:space="preserve">ANTENNA, BATTERY,  UDC COVER, </t>
  </si>
  <si>
    <t>5570F3305T63485</t>
  </si>
  <si>
    <t>5570F3305T63498</t>
  </si>
  <si>
    <t>242-5576-860HA6P</t>
  </si>
  <si>
    <t>5570F4405T74454</t>
  </si>
  <si>
    <t>5570F2306T95159</t>
  </si>
  <si>
    <t>5570F2306T95149</t>
  </si>
  <si>
    <t>5570F2306T95082</t>
  </si>
  <si>
    <t>5170F2009C13831</t>
  </si>
  <si>
    <t>5170F4108C83693</t>
  </si>
  <si>
    <t>5170F2509C15705</t>
  </si>
  <si>
    <t>5170F2509C15716</t>
  </si>
  <si>
    <t>Bringham Fire</t>
  </si>
  <si>
    <t>5170F4608C85970</t>
  </si>
  <si>
    <t>5570F0406T86146</t>
  </si>
  <si>
    <t>5570F3205T62584</t>
  </si>
  <si>
    <t>5570F2908C63180</t>
  </si>
  <si>
    <t>242-557D810HS6P</t>
  </si>
  <si>
    <t>Bad Axe Police</t>
  </si>
  <si>
    <t>BUTTON RUBBER RIPPED OR MISSING</t>
  </si>
  <si>
    <t>5570F2908C63204</t>
  </si>
  <si>
    <t>5570F2908C63184</t>
  </si>
  <si>
    <t>5570F2908C63229</t>
  </si>
  <si>
    <t>5170F1909C13245</t>
  </si>
  <si>
    <t>5170F0309T95456</t>
  </si>
  <si>
    <t>5170F3509C17278</t>
  </si>
  <si>
    <t>5170F2009C13889</t>
  </si>
  <si>
    <t>5170F1709C12066</t>
  </si>
  <si>
    <t>5170F2009C13556</t>
  </si>
  <si>
    <t>5170F2509C15395</t>
  </si>
  <si>
    <t>5170F4608C85979</t>
  </si>
  <si>
    <t>5570F3305T62885</t>
  </si>
  <si>
    <t>5170F2009C14200</t>
  </si>
  <si>
    <t>5170F2009C14187</t>
  </si>
  <si>
    <t>5170F2509C15515</t>
  </si>
  <si>
    <t>5170F2509C15583</t>
  </si>
  <si>
    <t>5170F2009C13647</t>
  </si>
  <si>
    <t>5170F2409C15127</t>
  </si>
  <si>
    <t>5170F2009C14160</t>
  </si>
  <si>
    <t>5170F2509C15410</t>
  </si>
  <si>
    <t>5170F2509C16012</t>
  </si>
  <si>
    <t>5170F2509C16013</t>
  </si>
  <si>
    <t>5170F2009C13865</t>
  </si>
  <si>
    <t>5170F2509C15653</t>
  </si>
  <si>
    <t>5170F2509C15469</t>
  </si>
  <si>
    <t>Tightened volume spanner nut</t>
  </si>
  <si>
    <t xml:space="preserve">SMA STRIPPED, </t>
  </si>
  <si>
    <t>5170F2009C13727</t>
  </si>
  <si>
    <t>BUTTON RUBBER RIPPED OR MISSING, PTT COVER MISSING</t>
  </si>
  <si>
    <t xml:space="preserve">NB RX SENSITIVITY SLOW, TX MODULATION LO DEV, TX MODULATION HI DEV,  BER, </t>
  </si>
  <si>
    <t>1/4 wave antenna</t>
  </si>
  <si>
    <t xml:space="preserve">NB MODULATION CAPABILITY, NB MODULATION CAPABILITY , TX MODULATION FIDELITY, </t>
  </si>
  <si>
    <t xml:space="preserve">TX MODULATION FIDELITY, TX MODULATION FIDELITY , </t>
  </si>
  <si>
    <t xml:space="preserve">TUNE SQUELCH, </t>
  </si>
  <si>
    <t>5170F2009C13642</t>
  </si>
  <si>
    <t>SHERMAN FIRE</t>
  </si>
  <si>
    <t xml:space="preserve">antenna, battery, clip, shoulder mic, </t>
  </si>
  <si>
    <t>5170F2509C15874</t>
  </si>
  <si>
    <t>5170F2509C16023</t>
  </si>
  <si>
    <t>5170F2509C15382</t>
  </si>
  <si>
    <t xml:space="preserve">antenna, battery, clip, Motorola shoulder mic, </t>
  </si>
  <si>
    <t>5570F3705T66340</t>
  </si>
  <si>
    <t>DSP Fail, Encrypt Bad, Tune TX Frequency</t>
  </si>
  <si>
    <t>5170F5108T91635</t>
  </si>
  <si>
    <t xml:space="preserve">ANTENNA, </t>
  </si>
  <si>
    <t>5170F2009C13904</t>
  </si>
  <si>
    <t>5170F2509C15378</t>
  </si>
  <si>
    <t>242-557D-810AY6P</t>
  </si>
  <si>
    <t>5170F2409C15166</t>
  </si>
  <si>
    <t>5170F2009C13824</t>
  </si>
  <si>
    <t>5170F2009C13750</t>
  </si>
  <si>
    <t>5170F1909C13480</t>
  </si>
  <si>
    <t>5170F2409C15161</t>
  </si>
  <si>
    <t>5170F2009C13792</t>
  </si>
  <si>
    <t>5170F2009C13887</t>
  </si>
  <si>
    <t>Central Dispatch</t>
  </si>
  <si>
    <t>5170F2509C15529</t>
  </si>
  <si>
    <t>5570F4505T74813</t>
  </si>
  <si>
    <t>5570F3305T63493</t>
  </si>
  <si>
    <t>5377H2910T97860</t>
  </si>
  <si>
    <t xml:space="preserve">597535775601 MFR 5061, 597535770101 MFR 5061, </t>
  </si>
  <si>
    <t>5378H2411C11671</t>
  </si>
  <si>
    <t>5378H2411C11603</t>
  </si>
  <si>
    <t xml:space="preserve">597535775601 Rev C, 597535770101 MFR 5061, </t>
  </si>
  <si>
    <t>5378H2913C19644</t>
  </si>
  <si>
    <t>597535775602 Rev D, 597535770101 MFR 5061</t>
  </si>
  <si>
    <t>5377H2809T78441</t>
  </si>
  <si>
    <t xml:space="preserve">597535775601 MFR 6408, 597535770101 MFR 6408, </t>
  </si>
  <si>
    <t>5377H1109T75566</t>
  </si>
  <si>
    <t xml:space="preserve">NA, </t>
  </si>
  <si>
    <t xml:space="preserve">Did not come in with power cables, </t>
  </si>
  <si>
    <t>5377H2809T78362</t>
  </si>
  <si>
    <t>5377H2809T78672</t>
  </si>
  <si>
    <t>5378H0711C10242</t>
  </si>
  <si>
    <t>242-557A-30AAAAH6M</t>
  </si>
  <si>
    <t>6.14.6</t>
  </si>
  <si>
    <t>Did not come in with power cables</t>
  </si>
  <si>
    <t>5377H2809T78711</t>
  </si>
  <si>
    <t>5377H2809T78695</t>
  </si>
  <si>
    <t>6.16.8</t>
  </si>
  <si>
    <t>5377H1309T76147</t>
  </si>
  <si>
    <t>5377H1309T76176</t>
  </si>
  <si>
    <t>5377H1609T76323</t>
  </si>
  <si>
    <t>5377H2009T76834</t>
  </si>
  <si>
    <t xml:space="preserve">597535775601 MFR 6408, 597535770601 MFR 6408, </t>
  </si>
  <si>
    <t>5377H2509T77816</t>
  </si>
  <si>
    <t>5377H1609T76267</t>
  </si>
  <si>
    <t>5377H2809T78548</t>
  </si>
  <si>
    <t>5377H2809T78618</t>
  </si>
  <si>
    <t xml:space="preserve">NB SET RATED AUDIO LEVEL, TX MODULATION FIDELITY LO DEV, TX MODULATION FIDELITY HI DEV,  BER, BER , TX MODULATION FIDELITY, TX MODULATION FIDELITY , </t>
  </si>
  <si>
    <t>Internal Speaker</t>
  </si>
  <si>
    <t xml:space="preserve">No Audio from internal Speaker; Verified speaker was enabled. Speaker ohm tested good at 8 ohms. Works with external speaker. </t>
  </si>
  <si>
    <t>Total # of Radios FirmwareUpdated</t>
  </si>
  <si>
    <t>6.16.9</t>
  </si>
  <si>
    <t>5377H1609T76261</t>
  </si>
  <si>
    <t>242-547GB-0XSBAB6M</t>
  </si>
  <si>
    <t>5377H2509T77830</t>
  </si>
  <si>
    <t>5377H0909T75052</t>
  </si>
  <si>
    <t>Left with QA codeplug. Did not have system key to write new codeplug.</t>
  </si>
  <si>
    <t>Codeplug could not be updated because it requires hard key.</t>
  </si>
  <si>
    <t xml:space="preserve">TX MODULATION FIDELITY HI DEV,  BER, BER , TX MODULATION FIDELITY, TX MODULATION FIDELITY , </t>
  </si>
  <si>
    <t xml:space="preserve">NB MODULATION CAPABILITY , TX MODULATION FIDELITY LO DEV, TX MODULATION FIDELITY HI DEV, </t>
  </si>
  <si>
    <t>5377H2809T78574</t>
  </si>
  <si>
    <t xml:space="preserve">  </t>
  </si>
  <si>
    <t>5377H2809T78677</t>
  </si>
  <si>
    <t xml:space="preserve">597535775601 MFR 6408, 597535770101 MFR 6408_x000D_
</t>
  </si>
  <si>
    <t>5377H2209T77370</t>
  </si>
  <si>
    <t>5377H2809T78587</t>
  </si>
  <si>
    <t>5377H2809T78571</t>
  </si>
  <si>
    <t xml:space="preserve">NB MODULATION CAPABILITY, NB MODULATION CAPABILITY , </t>
  </si>
  <si>
    <t>Did not come in with power cables, failed radio tests with original ID 8031. ID cahnged to 901; radio tests successful.</t>
  </si>
  <si>
    <t>5170F2409C15170</t>
  </si>
  <si>
    <t>6.10.9</t>
  </si>
  <si>
    <t>5377H2809T78566</t>
  </si>
  <si>
    <t>5377H2809T78539</t>
  </si>
  <si>
    <t xml:space="preserve">597-5357-756-01 MFR 6408, 597-5357-701-01 MFR 6408, </t>
  </si>
  <si>
    <t>5377H2809T78599</t>
  </si>
  <si>
    <t>5377H2809T78653</t>
  </si>
  <si>
    <t>5377H2809T78718</t>
  </si>
  <si>
    <t>597-5357-756-01 MFR 6408, 597-5357-701-01 MFR 5061,</t>
  </si>
  <si>
    <t>5377H2809T78547</t>
  </si>
  <si>
    <t>597-5357-756-01 MFR 6408, 597-5357-701-01 MFR 6408,</t>
  </si>
  <si>
    <t>5377H2809T78584</t>
  </si>
  <si>
    <t>5377H2809T78567</t>
  </si>
  <si>
    <t>597-5357-736-01 MFR 6408, 597-5357-701-01 MFR 6408,</t>
  </si>
  <si>
    <t>5377H2809T78557</t>
  </si>
  <si>
    <t>Port hope Fire</t>
  </si>
  <si>
    <t>5377H2809T78699</t>
  </si>
  <si>
    <t>5377H2809T78550</t>
  </si>
  <si>
    <t>5377H2809T78675</t>
  </si>
  <si>
    <t>5377H2910T97866</t>
  </si>
  <si>
    <t>No Cables</t>
  </si>
  <si>
    <t>5377H2809T78658</t>
  </si>
  <si>
    <t xml:space="preserve">597-5357-756-01 MFR 6408, 597-5357-706-01 MFR 6408, </t>
  </si>
  <si>
    <t>5377H2809T78649</t>
  </si>
  <si>
    <t>5377H2809T78715</t>
  </si>
  <si>
    <t>5377H2809T78565</t>
  </si>
  <si>
    <t>Sherman TWP Fire</t>
  </si>
  <si>
    <t>5377H2809T78684</t>
  </si>
  <si>
    <t>5377H2809T78704</t>
  </si>
  <si>
    <t>5377H2809T78683</t>
  </si>
  <si>
    <t>5377H2809T78678</t>
  </si>
  <si>
    <t>No Transmit fixed using head from radio S5377H2809T78705 that would not power up.</t>
  </si>
  <si>
    <t>5377H2809T78688</t>
  </si>
  <si>
    <t>Sigel TWP Fire</t>
  </si>
  <si>
    <t>5377H2809T78700</t>
  </si>
  <si>
    <t>5377H0809T74737</t>
  </si>
  <si>
    <t>5377H2509T77827</t>
  </si>
  <si>
    <t xml:space="preserve">597-5357-756-01 MFR 6408, 597-5357-736-01 MFR 6408, </t>
  </si>
  <si>
    <t xml:space="preserve">No audio from speaker on head. Enabled speaker using F2 and F5. </t>
  </si>
  <si>
    <t>5377H1309T76155</t>
  </si>
  <si>
    <t>5377H2809T78710</t>
  </si>
  <si>
    <t>5377H2809T78706</t>
  </si>
  <si>
    <t>5377H1309T76171</t>
  </si>
  <si>
    <t>5377H0809T74467</t>
  </si>
  <si>
    <t>5377H2809T78663</t>
  </si>
  <si>
    <t>5377H2509T77828</t>
  </si>
  <si>
    <t>5377H1309T76001</t>
  </si>
  <si>
    <t>5377H2809T78701</t>
  </si>
  <si>
    <t>5377H0909T74868</t>
  </si>
  <si>
    <t>5377H2809T78662</t>
  </si>
  <si>
    <t>5377H2809T78726</t>
  </si>
  <si>
    <t>5377H2809T78607</t>
  </si>
  <si>
    <t>5377H2809T78728</t>
  </si>
  <si>
    <t>5377H2809T78564</t>
  </si>
  <si>
    <t>NO Cables</t>
  </si>
  <si>
    <t>5377H2509T77826</t>
  </si>
  <si>
    <t>Spare Radio. Did not have Multi Net option. New Trunking option was put in radio. Did not have radio ID. Id 5910 put in for P25 Trunking Transition.</t>
  </si>
  <si>
    <t>5377H2509T77829</t>
  </si>
  <si>
    <t>Caseville Fire</t>
  </si>
  <si>
    <t>5377H2809T78597</t>
  </si>
  <si>
    <t>5377H2509T77818</t>
  </si>
  <si>
    <t>5377H2809T78721</t>
  </si>
  <si>
    <t>5377H2809T78562</t>
  </si>
  <si>
    <t>5377H2809T78670</t>
  </si>
  <si>
    <t>5377H2809T78647</t>
  </si>
  <si>
    <t>5378H0711C10276</t>
  </si>
  <si>
    <t>Caseville Sheriff</t>
  </si>
  <si>
    <t>Remote Only.</t>
  </si>
  <si>
    <t>5377H1609T76336</t>
  </si>
  <si>
    <t>Winsor TWP Fire</t>
  </si>
  <si>
    <t>5377H2809T78425</t>
  </si>
  <si>
    <t>5377H1609T76329</t>
  </si>
  <si>
    <t>242-557A-301AAAH6m</t>
  </si>
  <si>
    <t>5377H2809T78698</t>
  </si>
  <si>
    <t>5377H2809T78666</t>
  </si>
  <si>
    <t>5377H2809T78725</t>
  </si>
  <si>
    <t>5377H2809T78603</t>
  </si>
  <si>
    <t>5377H2809T78696</t>
  </si>
  <si>
    <t>5377H2809T78626</t>
  </si>
  <si>
    <t>5377H0909T74866</t>
  </si>
  <si>
    <t>5377H2809T78646</t>
  </si>
  <si>
    <t>5377H2809T78690</t>
  </si>
  <si>
    <t>Remote head 55000A269B10592; head address changed from 21 to 22 to resolve addressing conflict. ESD ECO Applied.</t>
  </si>
  <si>
    <t>Remote head 55000A269B10514; head address changed from 21 to 22 to resolve addressing conflict. ESD ECO Applied.</t>
  </si>
  <si>
    <t>Remote head 55000A269B10525; head address changed from 21 to 22 to resolve addressing conflict. ESD ECO Applied.</t>
  </si>
  <si>
    <t>Remote head 55000A269B10540; head address changed from 21 to 22 to resolve addressing conflict. ESD ECO Applied.</t>
  </si>
  <si>
    <t>Remote head: S55000A319B10971; head address changed from 21 to 22 to resolve addressing conflict. ESD ECO Applied.</t>
  </si>
  <si>
    <t>Remote head: S55000A269B10523; head address changed from 21 to 22 to resolve addressing conflict. ESD ECO Applied.</t>
  </si>
  <si>
    <t>Remote head S55000A269B10513; head address changed from 21 to 22 to resolve addressing conflict. ESD ECO Applied.</t>
  </si>
  <si>
    <t>Remote head 55000A269B10603; head address changed from 21 to 22 to resolve addressing conflict. ESD ECO Applied.</t>
  </si>
  <si>
    <t>Remote head S55000A269B10563; head address changed from 21 to 22 to resolve addressing conflict. ESD ECO Applied.</t>
  </si>
  <si>
    <t>Remote head: S55000A269B10512 ; head address changed from 21 to 22 to resolve addressing conflict. ESD ECO Applied.</t>
  </si>
  <si>
    <t>5377H2109T76993</t>
  </si>
  <si>
    <t>Sebewaing Fire</t>
  </si>
  <si>
    <t>5377H2809T78719</t>
  </si>
  <si>
    <t>5377H2809T78691</t>
  </si>
  <si>
    <t>5377H2809T78593</t>
  </si>
  <si>
    <t>5377H1209T75742</t>
  </si>
  <si>
    <t>5377H2809T78598</t>
  </si>
  <si>
    <t xml:space="preserve">TUNE MODULATION, </t>
  </si>
  <si>
    <t>Audio Amp</t>
  </si>
  <si>
    <t>No audio; verified head addressed at 21. Speaker enabled and ohmm good at 8 ohms. Worked with a test head and with an external speaker.</t>
  </si>
  <si>
    <t xml:space="preserve">597-5357-756-01 MFR 5061, 597-5357-701-01 MFR 5061, </t>
  </si>
  <si>
    <t>5377H1609T76304</t>
  </si>
  <si>
    <t>S5377H1609T76304</t>
  </si>
  <si>
    <t>Sebewaing Ambulance</t>
  </si>
  <si>
    <t>CR200 Bad</t>
  </si>
  <si>
    <t>Will not power up.</t>
  </si>
  <si>
    <t xml:space="preserve">597-5357-756-01 MFR 5061, 597-5357-701-01 MFR 5061, MIC, </t>
  </si>
  <si>
    <t>5377H2809T78734</t>
  </si>
  <si>
    <t>5377H2509T77817</t>
  </si>
  <si>
    <t>5377H2809T78578</t>
  </si>
  <si>
    <t>5377H2809T78576</t>
  </si>
  <si>
    <t>5377H2809T78615</t>
  </si>
  <si>
    <t>5377H2809T78661</t>
  </si>
  <si>
    <t>5377H2809T78616</t>
  </si>
  <si>
    <t>Remote head S55000A269B10539</t>
  </si>
  <si>
    <t>5377H2809T78674</t>
  </si>
  <si>
    <t>5377H2910T97897</t>
  </si>
  <si>
    <t>5377H2910T97883</t>
  </si>
  <si>
    <t>5377H2809T78729</t>
  </si>
  <si>
    <t>5377H2910T97845</t>
  </si>
  <si>
    <t>5377H2809T78731</t>
  </si>
  <si>
    <t>5377H2809T78546</t>
  </si>
  <si>
    <t>597-5357-756-01 MFR 6408, 597-5357-701-01 MFR 6408, Mic</t>
  </si>
  <si>
    <t>5377H2809T78714</t>
  </si>
  <si>
    <t xml:space="preserve">597-5357-756-01 MFR 6408, 597-5357-701-01 MFR 5061, </t>
  </si>
  <si>
    <t>5377H2509T77823</t>
  </si>
  <si>
    <t>Id changed from 568</t>
  </si>
  <si>
    <t>5377H2809T78361</t>
  </si>
  <si>
    <t>5377H2809T78717</t>
  </si>
  <si>
    <t>5377H2809T78589</t>
  </si>
  <si>
    <t>5377H2809T78657</t>
  </si>
  <si>
    <t>5377H2809T78694</t>
  </si>
  <si>
    <t>5377H2809T78689</t>
  </si>
  <si>
    <t>5377H2509T77832</t>
  </si>
  <si>
    <t>242-557B-301RAAH6M</t>
  </si>
  <si>
    <t>Kinde Pd</t>
  </si>
  <si>
    <t>5377H2809T78540</t>
  </si>
  <si>
    <t>5377H2809T78724</t>
  </si>
  <si>
    <t>5377H2809T78705</t>
  </si>
  <si>
    <t>UNK</t>
  </si>
  <si>
    <t>Thumb radio</t>
  </si>
  <si>
    <t>Will not power up, No audio from control head speaker</t>
  </si>
  <si>
    <t>5170F1709C11981</t>
  </si>
  <si>
    <t>2.18.16</t>
  </si>
  <si>
    <t>Changed ID from 2210</t>
  </si>
  <si>
    <t>5377H2809T78559</t>
  </si>
  <si>
    <t>Central EMS</t>
  </si>
  <si>
    <t>5377H2809T78583</t>
  </si>
  <si>
    <t>5377H2809T78590</t>
  </si>
  <si>
    <t>Port Austin Police</t>
  </si>
  <si>
    <t>5377H2809T78572</t>
  </si>
  <si>
    <t>5377H2809T78730</t>
  </si>
  <si>
    <t xml:space="preserve">Failed NB SET RATED AUDIO LEVEL at 6.02. The Upper limit is 6. It barely failed. </t>
  </si>
  <si>
    <t>5377H1609T76353</t>
  </si>
  <si>
    <t>Ubly EMS</t>
  </si>
  <si>
    <t>5377H2809T78585</t>
  </si>
  <si>
    <t>East Huron EMS</t>
  </si>
  <si>
    <t>5377H1609T76354</t>
  </si>
  <si>
    <t>5377H2809T78554</t>
  </si>
  <si>
    <t>Quick connect taps on main power cable 597-5357-756-01 MFR 6408</t>
  </si>
  <si>
    <t>5377H2809T78600</t>
  </si>
  <si>
    <t>Bad Axe EMS</t>
  </si>
  <si>
    <t>5377H2809T78545</t>
  </si>
  <si>
    <t>5377H2809T78685</t>
  </si>
  <si>
    <t>Sebewaing EMS</t>
  </si>
  <si>
    <t>5377H2809T78553</t>
  </si>
  <si>
    <t>5377H2809T78716</t>
  </si>
  <si>
    <t>5377H2809T78680</t>
  </si>
  <si>
    <t>5377H2809T78558</t>
  </si>
  <si>
    <t>5377H2809T78555</t>
  </si>
  <si>
    <t>5377H2809T78723</t>
  </si>
  <si>
    <t>5377H2809T78648</t>
  </si>
  <si>
    <t>5377H2809T78591</t>
  </si>
  <si>
    <t>5377H0909T75018</t>
  </si>
  <si>
    <t>I2G1WS551269322018</t>
  </si>
  <si>
    <t>Dave Rothe</t>
  </si>
  <si>
    <t>989-269-6470</t>
  </si>
  <si>
    <t>Chevy</t>
  </si>
  <si>
    <t>Impala</t>
  </si>
  <si>
    <t>Gas</t>
  </si>
  <si>
    <t>Yes</t>
  </si>
  <si>
    <t>No</t>
  </si>
  <si>
    <t>N/A</t>
  </si>
  <si>
    <t>terminals corroded.</t>
  </si>
  <si>
    <t>center console</t>
  </si>
  <si>
    <t>Good</t>
  </si>
  <si>
    <t>back seat deck</t>
  </si>
  <si>
    <t xml:space="preserve">main interior light not working. drivers side door seal split. Low profile antenna mounted rear interior deck.  </t>
  </si>
  <si>
    <t>antennex</t>
  </si>
  <si>
    <t>TRA B8213</t>
  </si>
  <si>
    <t>nmo</t>
  </si>
  <si>
    <t>good</t>
  </si>
  <si>
    <t>open</t>
  </si>
  <si>
    <t>yes</t>
  </si>
  <si>
    <t>242557A301AAAH6</t>
  </si>
  <si>
    <t>S5377H2809T78711</t>
  </si>
  <si>
    <t>1FT7W2B61EEA34811</t>
  </si>
  <si>
    <t>Dave Puruski</t>
  </si>
  <si>
    <t>Ford</t>
  </si>
  <si>
    <t>Not Checked</t>
  </si>
  <si>
    <t>center  console</t>
  </si>
  <si>
    <t>on glass rear window</t>
  </si>
  <si>
    <t>on glass antenna radio loud and clear</t>
  </si>
  <si>
    <t>larsen</t>
  </si>
  <si>
    <t>unknown</t>
  </si>
  <si>
    <t>on glass</t>
  </si>
  <si>
    <t>ok</t>
  </si>
  <si>
    <t>no mic clip</t>
  </si>
  <si>
    <t>good ignition line</t>
  </si>
  <si>
    <t>S5377H1309T76147</t>
  </si>
  <si>
    <t>4P1CT02P8WA000711</t>
  </si>
  <si>
    <t>Bad Axe Fire Dept.</t>
  </si>
  <si>
    <t>pierce</t>
  </si>
  <si>
    <t>engine</t>
  </si>
  <si>
    <t>Diesel</t>
  </si>
  <si>
    <t>center console and rear control head</t>
  </si>
  <si>
    <t>roof passenger side</t>
  </si>
  <si>
    <t>power hooked to battery disconnect   rear head tx   check ok</t>
  </si>
  <si>
    <t>maxrad</t>
  </si>
  <si>
    <t>through the roof</t>
  </si>
  <si>
    <t xml:space="preserve">fuse panel int. </t>
  </si>
  <si>
    <t>242_557A301AAAH6</t>
  </si>
  <si>
    <t>4V2JCBME5MR811840</t>
  </si>
  <si>
    <t>Dave Peruski</t>
  </si>
  <si>
    <t>volvo (E-ONE)</t>
  </si>
  <si>
    <t>tanker</t>
  </si>
  <si>
    <t>center dash and rear control head</t>
  </si>
  <si>
    <t xml:space="preserve">center of roof </t>
  </si>
  <si>
    <t>no grounding on mic clip and radio mouting bracket.  radio control head in rear.</t>
  </si>
  <si>
    <t>asp</t>
  </si>
  <si>
    <t>1680n</t>
  </si>
  <si>
    <t>interior fuse pannel</t>
  </si>
  <si>
    <t>242-557A-301AAAH6</t>
  </si>
  <si>
    <t>5377H2808T</t>
  </si>
  <si>
    <t>v6.05</t>
  </si>
  <si>
    <t>4ENGABA8691001324</t>
  </si>
  <si>
    <t>E-ONE</t>
  </si>
  <si>
    <t>airel</t>
  </si>
  <si>
    <t>good new</t>
  </si>
  <si>
    <t>enginevdog house</t>
  </si>
  <si>
    <t>roof</t>
  </si>
  <si>
    <t>pass side rear interior cab light not working</t>
  </si>
  <si>
    <t>I1GCHK24G11E2575580</t>
  </si>
  <si>
    <t>dash lower</t>
  </si>
  <si>
    <t>hazard lights four ways do not work  on glass antenna</t>
  </si>
  <si>
    <t>OLD BAD AXE GRASS TRUCK</t>
  </si>
  <si>
    <t>chevy</t>
  </si>
  <si>
    <t>scottsdale</t>
  </si>
  <si>
    <t>on top dash</t>
  </si>
  <si>
    <t>roof center</t>
  </si>
  <si>
    <t>24volt asp anttenna</t>
  </si>
  <si>
    <t>1I1GBM7H1J6RJ109965</t>
  </si>
  <si>
    <t xml:space="preserve">Dave Peruski </t>
  </si>
  <si>
    <t>gmc</t>
  </si>
  <si>
    <t>rescue</t>
  </si>
  <si>
    <t>center console box</t>
  </si>
  <si>
    <t>center roof</t>
  </si>
  <si>
    <t>flaser light switch not illuminating  sinclab antenna</t>
  </si>
  <si>
    <t>4P1CT02B8WA000711</t>
  </si>
  <si>
    <t>IGCGK34K0JEI62060</t>
  </si>
  <si>
    <t>Binghan tswp</t>
  </si>
  <si>
    <t xml:space="preserve">joe stacer </t>
  </si>
  <si>
    <t>floor center</t>
  </si>
  <si>
    <t>no hazard lights and aux power</t>
  </si>
  <si>
    <t>I1GDG6H1J7MJ502776</t>
  </si>
  <si>
    <t>Bingham tswp</t>
  </si>
  <si>
    <t>good slight corrosion</t>
  </si>
  <si>
    <t>center back cab</t>
  </si>
  <si>
    <t>asp antenna, no interior ceiling light, no steering wheel horn.</t>
  </si>
  <si>
    <t>1HTMKAZR8CH635110</t>
  </si>
  <si>
    <t>Bingham twsp fire</t>
  </si>
  <si>
    <t>international</t>
  </si>
  <si>
    <t>front center box with rear control head</t>
  </si>
  <si>
    <t xml:space="preserve">asp antenna, not working door locks, </t>
  </si>
  <si>
    <t>I1HTMKADR94H611181</t>
  </si>
  <si>
    <t>joe stacer</t>
  </si>
  <si>
    <t>pump tanker</t>
  </si>
  <si>
    <t>good  slight corrosion</t>
  </si>
  <si>
    <t>inside dash</t>
  </si>
  <si>
    <t>aux power plug broken(falls out of dash)</t>
  </si>
  <si>
    <t>BAD AXE FIRE BASE RADIO</t>
  </si>
  <si>
    <t>base</t>
  </si>
  <si>
    <t>v6.5 A21</t>
  </si>
  <si>
    <t>4V2JCBME5MRB11840</t>
  </si>
  <si>
    <t>1GBM7H1J109965</t>
  </si>
  <si>
    <t xml:space="preserve">good </t>
  </si>
  <si>
    <t>roof top of cab</t>
  </si>
  <si>
    <t>no ground on mic clip and radio bracket. coax is spliced</t>
  </si>
  <si>
    <t>fuse panel Behind driver seat</t>
  </si>
  <si>
    <t>242-557A_301AAAH6</t>
  </si>
  <si>
    <t>5377H1609T</t>
  </si>
  <si>
    <t>6.05   A21</t>
  </si>
  <si>
    <t>59270 OLD BAD AXE GRASS TRUCK</t>
  </si>
  <si>
    <t>dave peruski</t>
  </si>
  <si>
    <t>grass truck</t>
  </si>
  <si>
    <t>dash</t>
  </si>
  <si>
    <t>good fuse box</t>
  </si>
  <si>
    <t>5377h1609t 76267</t>
  </si>
  <si>
    <t>4ENGABA86910013240</t>
  </si>
  <si>
    <t>e-one</t>
  </si>
  <si>
    <t>center engine cover</t>
  </si>
  <si>
    <t>dual control head pigtail avalable on rear of radio; main radio ground to  pre wire ground location interior</t>
  </si>
  <si>
    <t>fuse panel ,int. dash</t>
  </si>
  <si>
    <t>5377H2009T 76834</t>
  </si>
  <si>
    <t>brush truck</t>
  </si>
  <si>
    <t>center under dash</t>
  </si>
  <si>
    <t>S5377H2809T78695</t>
  </si>
  <si>
    <t>1HTSNGR2MH3237990</t>
  </si>
  <si>
    <t xml:space="preserve">Fairhaven Fire </t>
  </si>
  <si>
    <t>roger gothero</t>
  </si>
  <si>
    <t>good little corrosion</t>
  </si>
  <si>
    <t>center dash</t>
  </si>
  <si>
    <t>roof busted off</t>
  </si>
  <si>
    <t xml:space="preserve">anttena was broke off </t>
  </si>
  <si>
    <t>1FVACYDJ07HY773910</t>
  </si>
  <si>
    <t>freightliner</t>
  </si>
  <si>
    <t>two middle wight warning lights on light bar doint work</t>
  </si>
  <si>
    <t>FAIRHAVEN RESCUE</t>
  </si>
  <si>
    <t>Fairhaven</t>
  </si>
  <si>
    <t>Grumman</t>
  </si>
  <si>
    <t>Rescue</t>
  </si>
  <si>
    <t>passenger side  exterior wall</t>
  </si>
  <si>
    <t>interior front light does not work</t>
  </si>
  <si>
    <t>1GDG6H1J7MJ5027760</t>
  </si>
  <si>
    <t>bingham township</t>
  </si>
  <si>
    <t>dash mount</t>
  </si>
  <si>
    <t>normal</t>
  </si>
  <si>
    <t>rear roof</t>
  </si>
  <si>
    <t>as</t>
  </si>
  <si>
    <t>asp-1680</t>
  </si>
  <si>
    <t>none</t>
  </si>
  <si>
    <t>interior fuse panel</t>
  </si>
  <si>
    <t>S5377H1609T76261</t>
  </si>
  <si>
    <t>1GCGK34K0JE1620600</t>
  </si>
  <si>
    <t>gmc 3500</t>
  </si>
  <si>
    <t>interior under dash</t>
  </si>
  <si>
    <t>cab roof</t>
  </si>
  <si>
    <t>some looming missing at battery connection</t>
  </si>
  <si>
    <t>AS</t>
  </si>
  <si>
    <t>S5377H2509T77830</t>
  </si>
  <si>
    <t>1HTMKAZR8CH6351100</t>
  </si>
  <si>
    <t>I1HTMKAZR8CH635110</t>
  </si>
  <si>
    <t>durastar</t>
  </si>
  <si>
    <t>middle counsel</t>
  </si>
  <si>
    <t>S5377H0909T75052</t>
  </si>
  <si>
    <t>I1HTMKADR94H6111810</t>
  </si>
  <si>
    <t>ladder</t>
  </si>
  <si>
    <t>S5377H2809T78574</t>
  </si>
  <si>
    <t>1HTSHNGR2MH3237990</t>
  </si>
  <si>
    <t>Roger Gothero</t>
  </si>
  <si>
    <t>ags</t>
  </si>
  <si>
    <t>roof good</t>
  </si>
  <si>
    <t>damaged</t>
  </si>
  <si>
    <t>15amp</t>
  </si>
  <si>
    <t>interior fuse panel (good)</t>
  </si>
  <si>
    <t>S5377H2809T78677</t>
  </si>
  <si>
    <t>1 FVACYDJ07HY779310</t>
  </si>
  <si>
    <t>Fair Haven</t>
  </si>
  <si>
    <t>Roger Gothro</t>
  </si>
  <si>
    <t>Freightliner</t>
  </si>
  <si>
    <t>Center of Dash</t>
  </si>
  <si>
    <t>Roof</t>
  </si>
  <si>
    <t>battery(good)</t>
  </si>
  <si>
    <t>S5377H2809T78566</t>
  </si>
  <si>
    <t>6.05.</t>
  </si>
  <si>
    <t>I5B4HP32R8X3308348</t>
  </si>
  <si>
    <t>rogee Gothro</t>
  </si>
  <si>
    <t>grumman</t>
  </si>
  <si>
    <t>rescue truck</t>
  </si>
  <si>
    <t xml:space="preserve">side mount </t>
  </si>
  <si>
    <t>rgs</t>
  </si>
  <si>
    <t>goood</t>
  </si>
  <si>
    <t xml:space="preserve">Fuse Pannel </t>
  </si>
  <si>
    <t>S5377H2209T77370</t>
  </si>
  <si>
    <t>FAIRHAVEN FIRE BASE RADIO</t>
  </si>
  <si>
    <t>S5377H2809T78587</t>
  </si>
  <si>
    <t>1P9CA01J7KA0402250</t>
  </si>
  <si>
    <t>harbor beach area FD</t>
  </si>
  <si>
    <t>jp lamont</t>
  </si>
  <si>
    <t>roof drivers side</t>
  </si>
  <si>
    <t>1GCVKREC3EZ1482820</t>
  </si>
  <si>
    <t>harbor beach fd</t>
  </si>
  <si>
    <t>silverado</t>
  </si>
  <si>
    <t>front dash</t>
  </si>
  <si>
    <t>na</t>
  </si>
  <si>
    <t xml:space="preserve">no antenna </t>
  </si>
  <si>
    <t>4PICT01F1MA0004120</t>
  </si>
  <si>
    <t>pumper</t>
  </si>
  <si>
    <t>little corroson</t>
  </si>
  <si>
    <t>top front dash</t>
  </si>
  <si>
    <t>1FTBF2B62DEB42055</t>
  </si>
  <si>
    <t>jpnlamont</t>
  </si>
  <si>
    <t>ford</t>
  </si>
  <si>
    <t>I1HTSDAAN0SH693043</t>
  </si>
  <si>
    <t>center consel box</t>
  </si>
  <si>
    <t>F90PVJA64330000000</t>
  </si>
  <si>
    <t>1HTWYAHT69J179324</t>
  </si>
  <si>
    <t>front center box</t>
  </si>
  <si>
    <t>I1HTSDADR3YH328492</t>
  </si>
  <si>
    <t>port hope fd</t>
  </si>
  <si>
    <t>gary shave</t>
  </si>
  <si>
    <t>front center consol</t>
  </si>
  <si>
    <t>1HTWNAZR1EH771291</t>
  </si>
  <si>
    <t>center upper column</t>
  </si>
  <si>
    <t>1HTMKAZRX9H094571</t>
  </si>
  <si>
    <t>upper front consol</t>
  </si>
  <si>
    <t>1FTWF31549EA61579</t>
  </si>
  <si>
    <t>front counsol</t>
  </si>
  <si>
    <t>weak battery</t>
  </si>
  <si>
    <t>I1HTSDADR7YH246488</t>
  </si>
  <si>
    <t>port hope dd</t>
  </si>
  <si>
    <t>CCE668V1596220000</t>
  </si>
  <si>
    <t>top dash</t>
  </si>
  <si>
    <t>top cab roof</t>
  </si>
  <si>
    <t>1HTMKAZR46H209337</t>
  </si>
  <si>
    <t>sherman twp</t>
  </si>
  <si>
    <t>kurt geiger</t>
  </si>
  <si>
    <t>tank</t>
  </si>
  <si>
    <t>top interioe consol</t>
  </si>
  <si>
    <t>I1FDAF57F11EA45491</t>
  </si>
  <si>
    <t>1FD8W3F60CEA16362</t>
  </si>
  <si>
    <t>cab rood</t>
  </si>
  <si>
    <t>1FD8W3F60CEA163620</t>
  </si>
  <si>
    <t>f350</t>
  </si>
  <si>
    <t>center consol</t>
  </si>
  <si>
    <t>1FTBF2B62DEB420550</t>
  </si>
  <si>
    <t>Harbor Beach fire dept.</t>
  </si>
  <si>
    <t>JP</t>
  </si>
  <si>
    <t>F250</t>
  </si>
  <si>
    <t>rooftop</t>
  </si>
  <si>
    <t>ASP</t>
  </si>
  <si>
    <t>under the dash</t>
  </si>
  <si>
    <t>S5377H2809T78718</t>
  </si>
  <si>
    <t>1P9CA040225</t>
  </si>
  <si>
    <t>diesel</t>
  </si>
  <si>
    <t>n/a</t>
  </si>
  <si>
    <t>under dash center</t>
  </si>
  <si>
    <t>power cable connected to battery and interior</t>
  </si>
  <si>
    <t>no</t>
  </si>
  <si>
    <t>under dash</t>
  </si>
  <si>
    <t>5377h2809t78567</t>
  </si>
  <si>
    <t>11GCVKREC3EZ148282</t>
  </si>
  <si>
    <t>harbor beach fire dept</t>
  </si>
  <si>
    <t>jp</t>
  </si>
  <si>
    <t>chief</t>
  </si>
  <si>
    <t xml:space="preserve">temporary magnet antenna installed </t>
  </si>
  <si>
    <t>nmoq</t>
  </si>
  <si>
    <t>magnet</t>
  </si>
  <si>
    <t>accessory cigarette lighter</t>
  </si>
  <si>
    <t>S5377H2809T78653</t>
  </si>
  <si>
    <t>1HTWYAHT69J1793241</t>
  </si>
  <si>
    <t>center consel fuse panel</t>
  </si>
  <si>
    <t>S5377H2809T78599</t>
  </si>
  <si>
    <t>1HTSDAAND0SH693043</t>
  </si>
  <si>
    <t>navistar</t>
  </si>
  <si>
    <t>4900 4x2</t>
  </si>
  <si>
    <t>Asp</t>
  </si>
  <si>
    <t>smo</t>
  </si>
  <si>
    <t>compartment fuse panel</t>
  </si>
  <si>
    <t>53776H2809T78584</t>
  </si>
  <si>
    <t>4P1CT01F1NA000412</t>
  </si>
  <si>
    <t>Harbor Beach fire dt</t>
  </si>
  <si>
    <t>Pierce</t>
  </si>
  <si>
    <t>Pump</t>
  </si>
  <si>
    <t>center top of dash</t>
  </si>
  <si>
    <t xml:space="preserve">rear control head in good condition. Also esn and model number unreadable </t>
  </si>
  <si>
    <t>Smo</t>
  </si>
  <si>
    <t>inside cab fuse panel</t>
  </si>
  <si>
    <t>FP0PV5A6435</t>
  </si>
  <si>
    <t>Custom cab ford 900</t>
  </si>
  <si>
    <t>center top dash</t>
  </si>
  <si>
    <t>55377H2809T78547</t>
  </si>
  <si>
    <t>1HTSDADR3VH328492</t>
  </si>
  <si>
    <t>Port Hope FD</t>
  </si>
  <si>
    <t>Gary schave</t>
  </si>
  <si>
    <t>tanker 1</t>
  </si>
  <si>
    <t>center of ceiling</t>
  </si>
  <si>
    <t>ignition switch</t>
  </si>
  <si>
    <t>1HTSDADR7YH2464881</t>
  </si>
  <si>
    <t>Gary Schave</t>
  </si>
  <si>
    <t>center ceiling</t>
  </si>
  <si>
    <t>1HTWNAZR1EH7712911</t>
  </si>
  <si>
    <t>7500 SRA 6x4</t>
  </si>
  <si>
    <t>center of the top dash</t>
  </si>
  <si>
    <t>fuse holder replaced</t>
  </si>
  <si>
    <t>1HTMKAZRX9H0945711</t>
  </si>
  <si>
    <t>4400 SBA 4x2</t>
  </si>
  <si>
    <t>center of the dash</t>
  </si>
  <si>
    <t>under the hood</t>
  </si>
  <si>
    <t>1FTWF31549EA615791</t>
  </si>
  <si>
    <t>4x4 super Duty</t>
  </si>
  <si>
    <t>center floor</t>
  </si>
  <si>
    <t>accessory fuse panel inside truck</t>
  </si>
  <si>
    <t>53772809T78549</t>
  </si>
  <si>
    <t>CCE668V1596221</t>
  </si>
  <si>
    <t>c65 cheyenne</t>
  </si>
  <si>
    <t>center of dash</t>
  </si>
  <si>
    <t>low voltage alarm is on</t>
  </si>
  <si>
    <t>accessory fuse panel</t>
  </si>
  <si>
    <t>5377H2809T78671</t>
  </si>
  <si>
    <t>1FVHCYDC45HV89044</t>
  </si>
  <si>
    <t>sigel twp</t>
  </si>
  <si>
    <t>joel kiehl</t>
  </si>
  <si>
    <t>asp 1680</t>
  </si>
  <si>
    <t>hooked to master light switch</t>
  </si>
  <si>
    <t>S5377H2809T78700</t>
  </si>
  <si>
    <t>1FVACYDJ57HY15615</t>
  </si>
  <si>
    <t>interior fusempanel</t>
  </si>
  <si>
    <t>242-557a-301aaah6</t>
  </si>
  <si>
    <t>5377h2509t77827</t>
  </si>
  <si>
    <t>1GCHK33F4FV045798</t>
  </si>
  <si>
    <t>pickup</t>
  </si>
  <si>
    <t>red power only connected to battery, mobile ground hooked to cut off switch</t>
  </si>
  <si>
    <t>asp1680</t>
  </si>
  <si>
    <t>S5377H0809T74737</t>
  </si>
  <si>
    <t>1FDAF57R28EB94965</t>
  </si>
  <si>
    <t>port austin fire</t>
  </si>
  <si>
    <t>don zimmerman</t>
  </si>
  <si>
    <t>f550</t>
  </si>
  <si>
    <t>S5377H1309T76001</t>
  </si>
  <si>
    <t>1GBP7H1C9YJ501643</t>
  </si>
  <si>
    <t>bmax8c33</t>
  </si>
  <si>
    <t>S5377H0809T74467</t>
  </si>
  <si>
    <t>3FRYF7FM4CV338584</t>
  </si>
  <si>
    <t>ford f750</t>
  </si>
  <si>
    <t>f750</t>
  </si>
  <si>
    <t>console center</t>
  </si>
  <si>
    <t>inline noise filter installed center console</t>
  </si>
  <si>
    <t>S5377H2809T78710</t>
  </si>
  <si>
    <t>3FRXF75T74V688460</t>
  </si>
  <si>
    <t>bmax 8c33</t>
  </si>
  <si>
    <t>S5377H2809T78706</t>
  </si>
  <si>
    <t>1GCHD34J8FF412278</t>
  </si>
  <si>
    <t>water rescue</t>
  </si>
  <si>
    <t>interioe fuse panel</t>
  </si>
  <si>
    <t>S5377H1309T76171</t>
  </si>
  <si>
    <t>I1FDXR82A0LVA38596</t>
  </si>
  <si>
    <t>S5377H2509T77828</t>
  </si>
  <si>
    <t>1HTLCCFK7KH676788</t>
  </si>
  <si>
    <t>under hood</t>
  </si>
  <si>
    <t>S5377H2809T78663</t>
  </si>
  <si>
    <t>2NKMHZ8X43M389568</t>
  </si>
  <si>
    <t>owendale fire</t>
  </si>
  <si>
    <t>matt roemer</t>
  </si>
  <si>
    <t>near battery</t>
  </si>
  <si>
    <t>S5377H2809T78690</t>
  </si>
  <si>
    <t>1HTMMAAN0AH252942</t>
  </si>
  <si>
    <t>internationa'</t>
  </si>
  <si>
    <t>cabroof</t>
  </si>
  <si>
    <t>ignition sense does not have a fuse</t>
  </si>
  <si>
    <t>S5377H0909T74866</t>
  </si>
  <si>
    <t>I1HTHCAURXTH248855</t>
  </si>
  <si>
    <t>caseville fd</t>
  </si>
  <si>
    <t>cannot read</t>
  </si>
  <si>
    <t>44KFT4281YWZ192000</t>
  </si>
  <si>
    <t>caseville fire dept</t>
  </si>
  <si>
    <t xml:space="preserve">ben </t>
  </si>
  <si>
    <t>darley</t>
  </si>
  <si>
    <t>main pumper</t>
  </si>
  <si>
    <t>battery switch</t>
  </si>
  <si>
    <t>S5377H2809T78597</t>
  </si>
  <si>
    <t>1P9CA01J4FA040957</t>
  </si>
  <si>
    <t>center of floor</t>
  </si>
  <si>
    <t>underneath seat connected to battery switch</t>
  </si>
  <si>
    <t>1GCGD3451GF398897</t>
  </si>
  <si>
    <t>red pickup</t>
  </si>
  <si>
    <t>center of the floor</t>
  </si>
  <si>
    <t>cabinet under the seats</t>
  </si>
  <si>
    <t>55377H2509T77818</t>
  </si>
  <si>
    <t>1HTMKAZR46H338212</t>
  </si>
  <si>
    <t>ben</t>
  </si>
  <si>
    <t>1FDAW57P13EC13447</t>
  </si>
  <si>
    <t>F550</t>
  </si>
  <si>
    <t>internal fuse panel</t>
  </si>
  <si>
    <t>242557A301AAAH</t>
  </si>
  <si>
    <t>N1111111111111111(N/A)</t>
  </si>
  <si>
    <t>fire rescue</t>
  </si>
  <si>
    <t>in the center of the top dash</t>
  </si>
  <si>
    <t>laird</t>
  </si>
  <si>
    <t>1BASE1BASEN/A</t>
  </si>
  <si>
    <t>5377H2809T</t>
  </si>
  <si>
    <t>AIRBOAT1AIRBOAT 1AIRBOAT</t>
  </si>
  <si>
    <t>airboat</t>
  </si>
  <si>
    <t>in center console</t>
  </si>
  <si>
    <t>bracket on fan</t>
  </si>
  <si>
    <t>243557A30</t>
  </si>
  <si>
    <t>1GCHK34K38E170344</t>
  </si>
  <si>
    <t>winsor fd</t>
  </si>
  <si>
    <t>nick pavlichek</t>
  </si>
  <si>
    <t>cheyenne</t>
  </si>
  <si>
    <t>bottom of dash</t>
  </si>
  <si>
    <t>1FDKE30M0RHB26013</t>
  </si>
  <si>
    <t>nick</t>
  </si>
  <si>
    <t>external fuse panel</t>
  </si>
  <si>
    <t>1HTWAHTX6J331164</t>
  </si>
  <si>
    <t>kme</t>
  </si>
  <si>
    <t>fire engine</t>
  </si>
  <si>
    <t>interior fuse panel in dash</t>
  </si>
  <si>
    <t>1K9AF42866N058081</t>
  </si>
  <si>
    <t>SHORT VIN#9875C</t>
  </si>
  <si>
    <t>winsor</t>
  </si>
  <si>
    <t>1BASE1BASE1BASE</t>
  </si>
  <si>
    <t>SPARESPARE1#SPARE</t>
  </si>
  <si>
    <t>gary</t>
  </si>
  <si>
    <t>BASE1BASE1BASE1</t>
  </si>
  <si>
    <t>5377H2809T7673</t>
  </si>
  <si>
    <t>1HTSDPCR7PH489656</t>
  </si>
  <si>
    <t>sherman fd</t>
  </si>
  <si>
    <t>kurt</t>
  </si>
  <si>
    <t>BASE1BASE1BASE11</t>
  </si>
  <si>
    <t>geiger</t>
  </si>
  <si>
    <t>office</t>
  </si>
  <si>
    <t>1FV65LCB8XHA41453</t>
  </si>
  <si>
    <t>kinde fd</t>
  </si>
  <si>
    <t>jim</t>
  </si>
  <si>
    <t>center of the cabs ceiling</t>
  </si>
  <si>
    <t>1GTGK24U4XE311298</t>
  </si>
  <si>
    <t>sierra</t>
  </si>
  <si>
    <t>SPARE1SPARE1SPARE1</t>
  </si>
  <si>
    <t>5377H2809T78573</t>
  </si>
  <si>
    <t>Elkton Police</t>
  </si>
  <si>
    <t>5377H2809T78624</t>
  </si>
  <si>
    <t>5377H2509T77824</t>
  </si>
  <si>
    <t>Owendale Police</t>
  </si>
  <si>
    <t>5377H1309T76237</t>
  </si>
  <si>
    <t>5377H2809T78651</t>
  </si>
  <si>
    <t>5377H2809T78709</t>
  </si>
  <si>
    <t>5377H2809T78664</t>
  </si>
  <si>
    <t>5377H2809T78676</t>
  </si>
  <si>
    <t>597-5357-756-01 MFR 6408, 597-5357-701-01 MFR 6408, Mic, Power Supply</t>
  </si>
  <si>
    <t>Chassis lug for right side power cable missing</t>
  </si>
  <si>
    <t>5377H2809T78650</t>
  </si>
  <si>
    <t>5377H2809T78708</t>
  </si>
  <si>
    <t>5377H2509T77825</t>
  </si>
  <si>
    <t>5377H2509T77819</t>
  </si>
  <si>
    <t>5377H2809T78560</t>
  </si>
  <si>
    <t>5377H2408C67648</t>
  </si>
  <si>
    <t>5377H2809T78687</t>
  </si>
  <si>
    <t>5377H2809T78579</t>
  </si>
  <si>
    <t>5377H0909T75060</t>
  </si>
  <si>
    <t>5377H2809T78556</t>
  </si>
  <si>
    <t>5377H2809T78733</t>
  </si>
  <si>
    <t>5377H2809T78499</t>
  </si>
  <si>
    <t>5377H2809T78627</t>
  </si>
  <si>
    <t>5377H2809T78594</t>
  </si>
  <si>
    <t>5377H2809T78640</t>
  </si>
  <si>
    <t>5377H1609T76331</t>
  </si>
  <si>
    <t>5377H2509T77821</t>
  </si>
  <si>
    <t>5377H2809T78588</t>
  </si>
  <si>
    <t>5377H2809T78720</t>
  </si>
  <si>
    <t>5170F2509C15689</t>
  </si>
  <si>
    <t>5170F2009C13752</t>
  </si>
  <si>
    <t>5170F2509C15330</t>
  </si>
  <si>
    <t>5170F2509C15543</t>
  </si>
  <si>
    <t>ANTENNA, BATTERY, UDC COVER, CLIP,</t>
  </si>
  <si>
    <t xml:space="preserve">TUNE TX POWER, </t>
  </si>
  <si>
    <t>5377H2809T78665</t>
  </si>
  <si>
    <t>Ubly Police</t>
  </si>
  <si>
    <t>5377H2809T78732</t>
  </si>
  <si>
    <t>5377H2809T78686</t>
  </si>
  <si>
    <t>5377H2809T78582</t>
  </si>
  <si>
    <t>5377H2809T78602</t>
  </si>
  <si>
    <t>5377H2809T78581</t>
  </si>
  <si>
    <t>5377H1609T76327</t>
  </si>
  <si>
    <t xml:space="preserve">597-5357-756-01 MFR 6408, 597-5357-706-01 MFR 6408_x000D_
</t>
  </si>
  <si>
    <t>5377H1609T76309</t>
  </si>
  <si>
    <t>Oliver Fire</t>
  </si>
  <si>
    <t>5377H1609T76388</t>
  </si>
  <si>
    <t>Caseville Police</t>
  </si>
  <si>
    <t>5377H2809T78713</t>
  </si>
  <si>
    <t>Harbor Beach Police</t>
  </si>
  <si>
    <t xml:space="preserve">597-5357-756-01 MFR 6408, 597-5357-701-01 MFR 6408_x000D_
</t>
  </si>
  <si>
    <t>5377H2809T78656</t>
  </si>
  <si>
    <t>5377H2809T78506</t>
  </si>
  <si>
    <t>5377H0909T75042</t>
  </si>
  <si>
    <t>Remote Head 55000A319B10992. ID changed from 1320.</t>
  </si>
  <si>
    <t>5377H2809T78552</t>
  </si>
  <si>
    <t>5377H2809T78563</t>
  </si>
  <si>
    <t>5377H2809T78601</t>
  </si>
  <si>
    <t>5170F1909C13471</t>
  </si>
  <si>
    <t xml:space="preserve">SHOULDER MIC, BATTERY, </t>
  </si>
  <si>
    <t>5170F4608C85763</t>
  </si>
  <si>
    <t>5377H1610T94666</t>
  </si>
  <si>
    <t>Fairhaven Police</t>
  </si>
  <si>
    <t>5377H2509T77822</t>
  </si>
  <si>
    <t>Sebewaing Police</t>
  </si>
  <si>
    <t>5377H1309T76100</t>
  </si>
  <si>
    <t>5377H1609T76371</t>
  </si>
  <si>
    <t>5377H2809T78682</t>
  </si>
  <si>
    <t>5377H2809T78575</t>
  </si>
  <si>
    <t>A21</t>
  </si>
  <si>
    <t>a21</t>
  </si>
  <si>
    <t>a22</t>
  </si>
  <si>
    <t>2NKMHZ7X55M11874</t>
  </si>
  <si>
    <t>paccar</t>
  </si>
  <si>
    <t>t300</t>
  </si>
  <si>
    <t>1 NEK13286J1226644</t>
  </si>
  <si>
    <t xml:space="preserve">schuerer </t>
  </si>
  <si>
    <t>tahoe</t>
  </si>
  <si>
    <t>god</t>
  </si>
  <si>
    <t>1GB6G5CL41113266</t>
  </si>
  <si>
    <t>b432</t>
  </si>
  <si>
    <t>van450</t>
  </si>
  <si>
    <t>1GBKG3169891110346</t>
  </si>
  <si>
    <t>b433</t>
  </si>
  <si>
    <t>anntenex short antenna</t>
  </si>
  <si>
    <t>1GCHK2401SEH6758</t>
  </si>
  <si>
    <t xml:space="preserve">positive wire has extension and is not connected to battery but through aux switch, also no 15 amp fuse but works properly </t>
  </si>
  <si>
    <t>aux switch on dash</t>
  </si>
  <si>
    <t>1BASE1BASE11BASE</t>
  </si>
  <si>
    <t>sebewaing fd</t>
  </si>
  <si>
    <t>matt bumhoffer</t>
  </si>
  <si>
    <t>53777H2109T76993</t>
  </si>
  <si>
    <t>1HTGCCUT4NH445980</t>
  </si>
  <si>
    <t>matt</t>
  </si>
  <si>
    <t>internatiomal</t>
  </si>
  <si>
    <t>2674 6x4</t>
  </si>
  <si>
    <t>interior fuse pane'</t>
  </si>
  <si>
    <t>1FVACYBS2AHAD9350</t>
  </si>
  <si>
    <t>sebewaing</t>
  </si>
  <si>
    <t>W41CF85179689</t>
  </si>
  <si>
    <t>dodge</t>
  </si>
  <si>
    <t>plymouth</t>
  </si>
  <si>
    <t>motor noise causing no rx but could talk out. when motor is turned off radio recieves</t>
  </si>
  <si>
    <t>interior ignition switch</t>
  </si>
  <si>
    <t>1FCJE3062CHB16228</t>
  </si>
  <si>
    <t>bread truck</t>
  </si>
  <si>
    <t>top of dash</t>
  </si>
  <si>
    <t>under dash internal fuse panel</t>
  </si>
  <si>
    <t>1GD6G5CL4C1173841</t>
  </si>
  <si>
    <t>bingham ambulance service</t>
  </si>
  <si>
    <t>adam kubacki</t>
  </si>
  <si>
    <t>G33803 ambulance</t>
  </si>
  <si>
    <t>module top</t>
  </si>
  <si>
    <t>vehicle horn is also a siren</t>
  </si>
  <si>
    <t>1GB6GCL4C1173841</t>
  </si>
  <si>
    <t>G33803</t>
  </si>
  <si>
    <t>350 ac with overhead operation</t>
  </si>
  <si>
    <t>fuse panel in compartment bay</t>
  </si>
  <si>
    <t>Pumper</t>
  </si>
  <si>
    <t>top interior dash</t>
  </si>
  <si>
    <t>Antenna is a Max rad</t>
  </si>
  <si>
    <t>PAFD</t>
  </si>
  <si>
    <t>middle consol</t>
  </si>
  <si>
    <t>3FRYF7FMACU338584</t>
  </si>
  <si>
    <t>f 750</t>
  </si>
  <si>
    <t>under center dash</t>
  </si>
  <si>
    <t>Has Max rad antenna</t>
  </si>
  <si>
    <t>top center dash</t>
  </si>
  <si>
    <t>1FDXR82A0LYA38596</t>
  </si>
  <si>
    <t>Don Zimmerman</t>
  </si>
  <si>
    <t>middle dash</t>
  </si>
  <si>
    <t>1GCHK33F4VF045798</t>
  </si>
  <si>
    <t>floor mount</t>
  </si>
  <si>
    <t xml:space="preserve">rear interior light does not work, am/fm radio does not work </t>
  </si>
  <si>
    <t>interior dash</t>
  </si>
  <si>
    <t>1FV6JLCB8XHA41453</t>
  </si>
  <si>
    <t>kinde area fd</t>
  </si>
  <si>
    <t>jim koroleski</t>
  </si>
  <si>
    <t>top interior cab</t>
  </si>
  <si>
    <t>1GTGK24U4YE311298</t>
  </si>
  <si>
    <t>kinde fire</t>
  </si>
  <si>
    <t>grass unit</t>
  </si>
  <si>
    <t>underneath top light bar</t>
  </si>
  <si>
    <t>antenna is underneath light bar and positioned horizontal,backinterior light does not work</t>
  </si>
  <si>
    <t>1GCHK24U15E116758</t>
  </si>
  <si>
    <t>cab light bar</t>
  </si>
  <si>
    <t>antenna on a 45 degree angle and is bent</t>
  </si>
  <si>
    <t>2NKMHZ7X55M118474</t>
  </si>
  <si>
    <t>kenworth</t>
  </si>
  <si>
    <t>front of center consol</t>
  </si>
  <si>
    <t>antenna is a antennex brand</t>
  </si>
  <si>
    <t>1FDXF80C4VVA28718</t>
  </si>
  <si>
    <t xml:space="preserve">ford </t>
  </si>
  <si>
    <t>center bottom dash</t>
  </si>
  <si>
    <t>1FVACYDT3DHFD1363</t>
  </si>
  <si>
    <t>underneath bench seat</t>
  </si>
  <si>
    <t>caseville fire</t>
  </si>
  <si>
    <t>ben willenberg</t>
  </si>
  <si>
    <t>front consol</t>
  </si>
  <si>
    <t xml:space="preserve">top interior </t>
  </si>
  <si>
    <t>1HTMLAFM94H671413</t>
  </si>
  <si>
    <t>top interior</t>
  </si>
  <si>
    <t>back cab top</t>
  </si>
  <si>
    <t>only 1 of the 2 alt. power sources works, antenna is a Laird brand</t>
  </si>
  <si>
    <t>1GCGD34J1GF398897</t>
  </si>
  <si>
    <t xml:space="preserve">caseville fire </t>
  </si>
  <si>
    <t xml:space="preserve">pierce </t>
  </si>
  <si>
    <t>center near seats</t>
  </si>
  <si>
    <t>44KFT4281YWZ19200</t>
  </si>
  <si>
    <t>hme</t>
  </si>
  <si>
    <t>upper center consol</t>
  </si>
  <si>
    <t>037X992</t>
  </si>
  <si>
    <t>Huron County sheriff</t>
  </si>
  <si>
    <t>brian wisenbaugh</t>
  </si>
  <si>
    <t>in front of seats</t>
  </si>
  <si>
    <t>top of fan cage</t>
  </si>
  <si>
    <t>1GCHK34K3PE170344</t>
  </si>
  <si>
    <t>winsor twp</t>
  </si>
  <si>
    <t>nick pavlicheck</t>
  </si>
  <si>
    <t>1K9AF42866NO58081</t>
  </si>
  <si>
    <t xml:space="preserve">roof consol </t>
  </si>
  <si>
    <t>doesnothave normal asp antenna</t>
  </si>
  <si>
    <t>9875-C</t>
  </si>
  <si>
    <t>antenna is not normal asp antenna</t>
  </si>
  <si>
    <t>1FDKE30MORHB26013</t>
  </si>
  <si>
    <t>has maxrad antenna</t>
  </si>
  <si>
    <t>1HTWYAHTX6J331164</t>
  </si>
  <si>
    <t>international tanker</t>
  </si>
  <si>
    <t>upper interior dash</t>
  </si>
  <si>
    <t>owendale fd</t>
  </si>
  <si>
    <t>1HTMMAANOAH252942</t>
  </si>
  <si>
    <t>topcenter dash</t>
  </si>
  <si>
    <t>1HTHCAURXTH24885</t>
  </si>
  <si>
    <t>centerdash</t>
  </si>
  <si>
    <t>1FDKE30M0JHC11535</t>
  </si>
  <si>
    <t>1GNUKAR03ARZ83363</t>
  </si>
  <si>
    <t xml:space="preserve">dave rothe </t>
  </si>
  <si>
    <t>cente rconsole</t>
  </si>
  <si>
    <t>roof laird</t>
  </si>
  <si>
    <t>looks,bean bag gun left in back left alone.</t>
  </si>
  <si>
    <t>1GNSK2E05DR00839</t>
  </si>
  <si>
    <t>dave rothe</t>
  </si>
  <si>
    <t xml:space="preserve">enter console </t>
  </si>
  <si>
    <t>looks good, pistol in passenger seat left alone.</t>
  </si>
  <si>
    <t>1G12657B894135930</t>
  </si>
  <si>
    <t>malibu</t>
  </si>
  <si>
    <t>in trunk glove box control head</t>
  </si>
  <si>
    <t>trunk deck</t>
  </si>
  <si>
    <t>all looks good under cover radio in trunk and head in glove box.</t>
  </si>
  <si>
    <t>1FCJE30627HBI6228</t>
  </si>
  <si>
    <t>sebewaing fire</t>
  </si>
  <si>
    <t>old bread truck</t>
  </si>
  <si>
    <t xml:space="preserve">good new </t>
  </si>
  <si>
    <t xml:space="preserve">on bracket </t>
  </si>
  <si>
    <t xml:space="preserve">antenna may need to be checked. </t>
  </si>
  <si>
    <t>1HT6LCCT4NH445980</t>
  </si>
  <si>
    <t xml:space="preserve">international </t>
  </si>
  <si>
    <t>tanker toy</t>
  </si>
  <si>
    <t xml:space="preserve">good little corrosion </t>
  </si>
  <si>
    <t xml:space="preserve">roof </t>
  </si>
  <si>
    <t>1HTSDAR7YH231800</t>
  </si>
  <si>
    <t>sebewing fire</t>
  </si>
  <si>
    <t>good little corrision</t>
  </si>
  <si>
    <t>1FVACYB52AHHD9350</t>
  </si>
  <si>
    <t>frightliner</t>
  </si>
  <si>
    <t>pump</t>
  </si>
  <si>
    <t>good in roof</t>
  </si>
  <si>
    <t>W24BE75168310</t>
  </si>
  <si>
    <t>W41CF86179689</t>
  </si>
  <si>
    <t>laying on floor</t>
  </si>
  <si>
    <t xml:space="preserve">ok </t>
  </si>
  <si>
    <t>in roof</t>
  </si>
  <si>
    <t xml:space="preserve">may need a radio bracket </t>
  </si>
  <si>
    <t>Z6CEK19T641127788</t>
  </si>
  <si>
    <t>oliver fire</t>
  </si>
  <si>
    <t>jim seley</t>
  </si>
  <si>
    <t>private truck</t>
  </si>
  <si>
    <t xml:space="preserve">chevy </t>
  </si>
  <si>
    <t>battery good little corrsion</t>
  </si>
  <si>
    <t>on celing</t>
  </si>
  <si>
    <t>magnet mount</t>
  </si>
  <si>
    <t>siren dident work,mag antenna trim moldingin bad shape.</t>
  </si>
  <si>
    <t>1HTWYAH206J332713</t>
  </si>
  <si>
    <t>oliver</t>
  </si>
  <si>
    <t>in upper console</t>
  </si>
  <si>
    <t>trough roof</t>
  </si>
  <si>
    <t xml:space="preserve">laird antenna </t>
  </si>
  <si>
    <t>3C853PL0Z833</t>
  </si>
  <si>
    <t>old engine</t>
  </si>
  <si>
    <t>through roof</t>
  </si>
  <si>
    <t>1000EE214</t>
  </si>
  <si>
    <t>spartan</t>
  </si>
  <si>
    <t>good little corrosin</t>
  </si>
  <si>
    <t xml:space="preserve">center </t>
  </si>
  <si>
    <t>through roof laird</t>
  </si>
  <si>
    <t>laird antenna</t>
  </si>
  <si>
    <t>457HR099EVC024023</t>
  </si>
  <si>
    <t>center</t>
  </si>
  <si>
    <t>good 2 antennas?</t>
  </si>
  <si>
    <t>fitting looked bad two antennas?</t>
  </si>
  <si>
    <t>1GCGK13023F218147</t>
  </si>
  <si>
    <t xml:space="preserve">on celing </t>
  </si>
  <si>
    <t>wireing issues needs fuseholder and ignition sence fuse</t>
  </si>
  <si>
    <t>1G1ZG57B894135930</t>
  </si>
  <si>
    <t xml:space="preserve">in trunk	</t>
  </si>
  <si>
    <t>under rear window</t>
  </si>
  <si>
    <t>power connected to fuse panel</t>
  </si>
  <si>
    <t>lpt800</t>
  </si>
  <si>
    <t xml:space="preserve">good			</t>
  </si>
  <si>
    <t xml:space="preserve">interior dash	</t>
  </si>
  <si>
    <t>5377h2809t78714</t>
  </si>
  <si>
    <t xml:space="preserve">6.05	</t>
  </si>
  <si>
    <t xml:space="preserve">6.16.18	</t>
  </si>
  <si>
    <t>2FAFP71W36X145762</t>
  </si>
  <si>
    <t>elkton pd</t>
  </si>
  <si>
    <t>scott jobes</t>
  </si>
  <si>
    <t>cop car</t>
  </si>
  <si>
    <t>top of trunk</t>
  </si>
  <si>
    <t>lp800nmo</t>
  </si>
  <si>
    <t>trunk</t>
  </si>
  <si>
    <t>2FAFP71W93X107092</t>
  </si>
  <si>
    <t>pigeon pd</t>
  </si>
  <si>
    <t>eric wissner</t>
  </si>
  <si>
    <t>centerconsole</t>
  </si>
  <si>
    <t>antenx</t>
  </si>
  <si>
    <t>soldered into hot line</t>
  </si>
  <si>
    <t>5377h2809t 78694</t>
  </si>
  <si>
    <t>2G1WS57M9</t>
  </si>
  <si>
    <t>2G1WS57M991296575</t>
  </si>
  <si>
    <t>fairhaven pd</t>
  </si>
  <si>
    <t>chester kowalski</t>
  </si>
  <si>
    <t>553 5281</t>
  </si>
  <si>
    <t>impala</t>
  </si>
  <si>
    <t>interiorline</t>
  </si>
  <si>
    <t>uownnkn</t>
  </si>
  <si>
    <t>5377h2809t78724</t>
  </si>
  <si>
    <t>1FM5K8ARXDGA15027</t>
  </si>
  <si>
    <t>portaustin pd</t>
  </si>
  <si>
    <t>dale hartsell</t>
  </si>
  <si>
    <t>550-5660</t>
  </si>
  <si>
    <t>edge</t>
  </si>
  <si>
    <t>hotwire spliced</t>
  </si>
  <si>
    <t>1GBE4V1257F409985</t>
  </si>
  <si>
    <t>central ems</t>
  </si>
  <si>
    <t>kristi ruth</t>
  </si>
  <si>
    <t>550-6192</t>
  </si>
  <si>
    <t>ambulance</t>
  </si>
  <si>
    <t>1GNFK03039R233788</t>
  </si>
  <si>
    <t>central huron ems</t>
  </si>
  <si>
    <t>echo unit</t>
  </si>
  <si>
    <t>flat larsen</t>
  </si>
  <si>
    <t>5377h2809t78730</t>
  </si>
  <si>
    <t>2FABP7BV7AX123454</t>
  </si>
  <si>
    <t>kinde pa</t>
  </si>
  <si>
    <t>randy miller</t>
  </si>
  <si>
    <t>550-0649</t>
  </si>
  <si>
    <t>antennax</t>
  </si>
  <si>
    <t>interior line</t>
  </si>
  <si>
    <t>unkown</t>
  </si>
  <si>
    <t>2G1WD5EMOB1288495</t>
  </si>
  <si>
    <t>sherrifs</t>
  </si>
  <si>
    <t>brain wisenbaugh</t>
  </si>
  <si>
    <t>553-6119</t>
  </si>
  <si>
    <t>gun left in car left alone, radar wouldent power up for us, personal iems untouched</t>
  </si>
  <si>
    <t>apc</t>
  </si>
  <si>
    <t>hotline in car</t>
  </si>
  <si>
    <t>5377h2809t 78554</t>
  </si>
  <si>
    <t>1FDUF4HT</t>
  </si>
  <si>
    <t>KRISTI RUTH</t>
  </si>
  <si>
    <t xml:space="preserve">Ford  </t>
  </si>
  <si>
    <t>Ambulance</t>
  </si>
  <si>
    <t>center column</t>
  </si>
  <si>
    <t>all good</t>
  </si>
  <si>
    <t>goo</t>
  </si>
  <si>
    <t>hotline</t>
  </si>
  <si>
    <t>261WD5E33C127366</t>
  </si>
  <si>
    <t>BrianWisenbaugh</t>
  </si>
  <si>
    <t>269-2120</t>
  </si>
  <si>
    <t>Cop car</t>
  </si>
  <si>
    <t>good/little corrosion</t>
  </si>
  <si>
    <t>on trunk</t>
  </si>
  <si>
    <t>ipc</t>
  </si>
  <si>
    <t>hotlinein car</t>
  </si>
  <si>
    <t>1FMZU73E22ZA44460</t>
  </si>
  <si>
    <t>CENTRAL HURON EMS</t>
  </si>
  <si>
    <t>FORD</t>
  </si>
  <si>
    <t>EXPLORER</t>
  </si>
  <si>
    <t>GOOD/LITTLE COROSION</t>
  </si>
  <si>
    <t>CENTER CONSOLE</t>
  </si>
  <si>
    <t>GOOD</t>
  </si>
  <si>
    <t>ROOF</t>
  </si>
  <si>
    <t>antenex</t>
  </si>
  <si>
    <t>2G1WD5EM9B1289709</t>
  </si>
  <si>
    <t>SHERIFF</t>
  </si>
  <si>
    <t>BRIAN WISENBAUGH</t>
  </si>
  <si>
    <t>CHEVY</t>
  </si>
  <si>
    <t>IMPALA</t>
  </si>
  <si>
    <t>DECK LID</t>
  </si>
  <si>
    <t>1FMFU16559EB27121</t>
  </si>
  <si>
    <t>SHERIFF DEPT</t>
  </si>
  <si>
    <t>EXPLORER XLT</t>
  </si>
  <si>
    <t>GONOD/LITTLE COROSION</t>
  </si>
  <si>
    <t>ESP</t>
  </si>
  <si>
    <t>IGNISION LINE</t>
  </si>
  <si>
    <t>242557a301aaah6</t>
  </si>
  <si>
    <t>s5377h2809t78558</t>
  </si>
  <si>
    <t>2G1WD5E37C1273145</t>
  </si>
  <si>
    <t>SHERRIFS</t>
  </si>
  <si>
    <t>BRIANWISENBAUH</t>
  </si>
  <si>
    <t>COP CAR</t>
  </si>
  <si>
    <t>GOOD LITTLE CORROSIN</t>
  </si>
  <si>
    <t>TRUNK</t>
  </si>
  <si>
    <t>PERSONAL BELONGINGS LEFT ALONE</t>
  </si>
  <si>
    <t>HOTWIRE</t>
  </si>
  <si>
    <t>s5377h2809t78723</t>
  </si>
  <si>
    <t>2G1WD5E33C1273711</t>
  </si>
  <si>
    <t>LARSEN</t>
  </si>
  <si>
    <t>AP800</t>
  </si>
  <si>
    <t>HOTLINE</t>
  </si>
  <si>
    <t>s5377h2809t78555</t>
  </si>
  <si>
    <t>IGB6G5CL0B1134596</t>
  </si>
  <si>
    <t xml:space="preserve"> Central Ambulance Svsc</t>
  </si>
  <si>
    <t>Kristi Ruth</t>
  </si>
  <si>
    <t>ap800</t>
  </si>
  <si>
    <t>mainline</t>
  </si>
  <si>
    <t>242-577-a301aaah6</t>
  </si>
  <si>
    <t>5377h2809t 78648</t>
  </si>
  <si>
    <t>2G1WS57M291295879</t>
  </si>
  <si>
    <t>sherriffs</t>
  </si>
  <si>
    <t>brianwisenbaugh</t>
  </si>
  <si>
    <t>pre-wire</t>
  </si>
  <si>
    <t>S5377H2809T78591</t>
  </si>
  <si>
    <t>16CEK19ZX72156365</t>
  </si>
  <si>
    <t>sheriff</t>
  </si>
  <si>
    <t>silverado/truck</t>
  </si>
  <si>
    <t>fuse box</t>
  </si>
  <si>
    <t>S5377H0909T75018</t>
  </si>
  <si>
    <t>2FAFP71W51X11</t>
  </si>
  <si>
    <t>I2FAFP71W51X116658</t>
  </si>
  <si>
    <t>owendale pd</t>
  </si>
  <si>
    <t>anthony</t>
  </si>
  <si>
    <t>in hot line</t>
  </si>
  <si>
    <t>S5377H2509T77824</t>
  </si>
  <si>
    <t>I2B3CL1CGXBH565133</t>
  </si>
  <si>
    <t>charger</t>
  </si>
  <si>
    <t>good in trunk</t>
  </si>
  <si>
    <t>center collum</t>
  </si>
  <si>
    <t>tiedin hot line</t>
  </si>
  <si>
    <t>2G1WD5EM4B1289312</t>
  </si>
  <si>
    <t>brianwiesenbugh</t>
  </si>
  <si>
    <t>little corrosion</t>
  </si>
  <si>
    <t>S5377H1309T76237</t>
  </si>
  <si>
    <t>I2G1WS553681326687</t>
  </si>
  <si>
    <t>brian wiesenbaugh</t>
  </si>
  <si>
    <t>corrosion</t>
  </si>
  <si>
    <t>S5377H2809T78651</t>
  </si>
  <si>
    <t>HUMVEE</t>
  </si>
  <si>
    <t>hummer</t>
  </si>
  <si>
    <t>asp16080</t>
  </si>
  <si>
    <t>2G1WD5E38C1314298</t>
  </si>
  <si>
    <t>S5377H2809T78664</t>
  </si>
  <si>
    <t>I2G1WS553081330833</t>
  </si>
  <si>
    <t>sheriffs</t>
  </si>
  <si>
    <t>m30</t>
  </si>
  <si>
    <t>corrosin</t>
  </si>
  <si>
    <t>prewired</t>
  </si>
  <si>
    <t>S5377H2809T78650</t>
  </si>
  <si>
    <t>12B3CLCGXBH565133</t>
  </si>
  <si>
    <t>ELKTONPD</t>
  </si>
  <si>
    <t>SCOTT JOBES</t>
  </si>
  <si>
    <t>DODGE</t>
  </si>
  <si>
    <t>COPCAR</t>
  </si>
  <si>
    <t>CENTCONSOLE</t>
  </si>
  <si>
    <t>1FBNE31L67DB06137</t>
  </si>
  <si>
    <t>SHERRIFF</t>
  </si>
  <si>
    <t>BRIANWIESENBAUGH</t>
  </si>
  <si>
    <t>VAN</t>
  </si>
  <si>
    <t>UNDERDASH</t>
  </si>
  <si>
    <t>OPEN</t>
  </si>
  <si>
    <t>FUSEBOX</t>
  </si>
  <si>
    <t>s5377h2809t78687</t>
  </si>
  <si>
    <t>2G1WD5EM0A1247623</t>
  </si>
  <si>
    <t>SHERIFS</t>
  </si>
  <si>
    <t>BRIAN WIESENBAUGH</t>
  </si>
  <si>
    <t>GOOD LITLE COROSION</t>
  </si>
  <si>
    <t>UNDER DASH</t>
  </si>
  <si>
    <t>1FBSS31L38DA73109</t>
  </si>
  <si>
    <t>SHERIFFS</t>
  </si>
  <si>
    <t>couldnotread</t>
  </si>
  <si>
    <t>I1GB9G5B60A1124111</t>
  </si>
  <si>
    <t>central huron amb</t>
  </si>
  <si>
    <t>amb</t>
  </si>
  <si>
    <t>S5377H2809T78499</t>
  </si>
  <si>
    <t>4M2EU47E36ZJ03723</t>
  </si>
  <si>
    <t>127undercover</t>
  </si>
  <si>
    <t>mercury</t>
  </si>
  <si>
    <t>undercover</t>
  </si>
  <si>
    <t>near rear hatch</t>
  </si>
  <si>
    <t>rear panel</t>
  </si>
  <si>
    <t>242557B301RAAH6</t>
  </si>
  <si>
    <t>S5377H2809T78640</t>
  </si>
  <si>
    <t>I2G1WS553181329139</t>
  </si>
  <si>
    <t>bian wiesenbaugh</t>
  </si>
  <si>
    <t>heavy corrsion</t>
  </si>
  <si>
    <t>g</t>
  </si>
  <si>
    <t>S5377H2809T78594</t>
  </si>
  <si>
    <t>2G1WD5E32C1314779</t>
  </si>
  <si>
    <t>NEW</t>
  </si>
  <si>
    <t>CENTERCOLLUM</t>
  </si>
  <si>
    <t>1B3HB48BX7D588391</t>
  </si>
  <si>
    <t>BRIAN WIESENBOUGH</t>
  </si>
  <si>
    <t>UNDERCOVER caliber</t>
  </si>
  <si>
    <t>REARCONTROLHEAD</t>
  </si>
  <si>
    <t>IN REAR INSIDE</t>
  </si>
  <si>
    <t>ANTENNANOT GROUNDEDAND IGNITIONSENSE IS LIVEALL THE TIME.</t>
  </si>
  <si>
    <t>bp800</t>
  </si>
  <si>
    <t>rearpanel</t>
  </si>
  <si>
    <t>S5377H1609T76331</t>
  </si>
  <si>
    <t>I2G1WD5EM0A1247623</t>
  </si>
  <si>
    <t>SHERRIF</t>
  </si>
  <si>
    <t>NONE</t>
  </si>
  <si>
    <t>s5377h2809t78579</t>
  </si>
  <si>
    <t>I1G4HD57199U123297</t>
  </si>
  <si>
    <t>brianwiesenbaugh</t>
  </si>
  <si>
    <t>buick</t>
  </si>
  <si>
    <t xml:space="preserve">magnetic antenna in rear </t>
  </si>
  <si>
    <t>trb8063</t>
  </si>
  <si>
    <t>front panel</t>
  </si>
  <si>
    <t>S5377H2809T78588</t>
  </si>
  <si>
    <t>I2G1WD5EM9A1248365</t>
  </si>
  <si>
    <t>patrol</t>
  </si>
  <si>
    <t>S5377H2509T77821</t>
  </si>
  <si>
    <t>1FBSS3BL1BDB23527</t>
  </si>
  <si>
    <t>van</t>
  </si>
  <si>
    <t>frontconsol</t>
  </si>
  <si>
    <t>tbp8603</t>
  </si>
  <si>
    <t>frontpanel</t>
  </si>
  <si>
    <t>S5377H2809T78720</t>
  </si>
  <si>
    <t>I1GNLC2E05BR270842</t>
  </si>
  <si>
    <t>ubly pd</t>
  </si>
  <si>
    <t>daverothe</t>
  </si>
  <si>
    <t>553-5625</t>
  </si>
  <si>
    <t>didnot have watt meter at this time</t>
  </si>
  <si>
    <t>antnnex</t>
  </si>
  <si>
    <t>S5377H2809T78665</t>
  </si>
  <si>
    <t>I1GB9G5B65A1100564</t>
  </si>
  <si>
    <t>centralhuron ems</t>
  </si>
  <si>
    <t>power is comeing from a switch in cab</t>
  </si>
  <si>
    <t>S5377H2809T78582</t>
  </si>
  <si>
    <t>2G1WD5EM6B1291840</t>
  </si>
  <si>
    <t>CENTER</t>
  </si>
  <si>
    <t>undercenterconsol</t>
  </si>
  <si>
    <t>s5377h0909t75042</t>
  </si>
  <si>
    <t>I1GNSK2E09ER138041</t>
  </si>
  <si>
    <t>casevillepd</t>
  </si>
  <si>
    <t>kyle romzek</t>
  </si>
  <si>
    <t>lp800</t>
  </si>
  <si>
    <t>centerconsol</t>
  </si>
  <si>
    <t>S5377H2809T78552</t>
  </si>
  <si>
    <t>I2G1WS551769284138</t>
  </si>
  <si>
    <t>HUMVEE2</t>
  </si>
  <si>
    <t>CEILING</t>
  </si>
  <si>
    <t>NOWATT METER AT THIS TIME</t>
  </si>
  <si>
    <t>R00F</t>
  </si>
  <si>
    <t>s5377h2809t78563</t>
  </si>
  <si>
    <t>Time In</t>
  </si>
  <si>
    <t>Time Out</t>
  </si>
  <si>
    <t>Total # of Viking Portables</t>
  </si>
  <si>
    <t>Total # of Viking Mobiles</t>
  </si>
  <si>
    <t>Total # of Viking Portables w/ atleast one Failure</t>
  </si>
  <si>
    <t>Total # of Viking Mobiles w/ atleast one Failure</t>
  </si>
  <si>
    <t>Total # of Radio Replacements</t>
  </si>
  <si>
    <t>Old Model Number</t>
  </si>
  <si>
    <t>Old Full SN</t>
  </si>
  <si>
    <t>Old Comments</t>
  </si>
  <si>
    <t>Armada</t>
  </si>
  <si>
    <t>New Model Number</t>
  </si>
  <si>
    <t>New Full SN</t>
  </si>
  <si>
    <t>New Failures</t>
  </si>
  <si>
    <t>Old Failures</t>
  </si>
  <si>
    <t>New Comments</t>
  </si>
  <si>
    <t>Radio Engraving</t>
  </si>
  <si>
    <t>Password</t>
  </si>
  <si>
    <t>efj2014</t>
  </si>
  <si>
    <t>User Name</t>
  </si>
  <si>
    <t>admin</t>
  </si>
  <si>
    <t>Old Single RCH Serial Number</t>
  </si>
  <si>
    <t>Old Dual RCH      Serial Number</t>
  </si>
  <si>
    <t>New Single RCH Serial Number</t>
  </si>
  <si>
    <t>New Dual RCH      Serial Number</t>
  </si>
</sst>
</file>

<file path=xl/styles.xml><?xml version="1.0" encoding="utf-8"?>
<styleSheet xmlns="http://schemas.openxmlformats.org/spreadsheetml/2006/main">
  <numFmts count="4">
    <numFmt numFmtId="164" formatCode="[$-409]mmmm\ d\,\ yyyy;@"/>
    <numFmt numFmtId="165" formatCode="[$-F400]h:mm:ss\ AM/PM"/>
    <numFmt numFmtId="166" formatCode="hh:mm:ss"/>
    <numFmt numFmtId="167" formatCode="[$-409]d\-mmm\-yy;@"/>
  </numFmts>
  <fonts count="20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MS Sans Serif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222222"/>
      <name val="Calibri"/>
      <family val="2"/>
      <scheme val="minor"/>
    </font>
    <font>
      <sz val="9"/>
      <color rgb="FF222222"/>
      <name val="Tahoma"/>
      <family val="2"/>
    </font>
    <font>
      <sz val="14"/>
      <color theme="1"/>
      <name val="Calibri"/>
      <family val="2"/>
      <scheme val="minor"/>
    </font>
    <font>
      <sz val="14"/>
      <color theme="1"/>
      <name val="Andalus"/>
      <family val="1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4" fillId="2" borderId="0" applyNumberFormat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164" fontId="1" fillId="0" borderId="0"/>
    <xf numFmtId="0" fontId="2" fillId="0" borderId="0"/>
  </cellStyleXfs>
  <cellXfs count="204">
    <xf numFmtId="0" fontId="0" fillId="0" borderId="0" xfId="0"/>
    <xf numFmtId="166" fontId="0" fillId="3" borderId="1" xfId="0" applyNumberForma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8" fillId="3" borderId="7" xfId="0" applyNumberFormat="1" applyFont="1" applyFill="1" applyBorder="1" applyAlignment="1" applyProtection="1">
      <alignment horizontal="center" vertical="center"/>
    </xf>
    <xf numFmtId="1" fontId="8" fillId="3" borderId="7" xfId="0" applyNumberFormat="1" applyFont="1" applyFill="1" applyBorder="1" applyAlignment="1" applyProtection="1">
      <alignment horizontal="center" vertical="center"/>
    </xf>
    <xf numFmtId="9" fontId="8" fillId="3" borderId="7" xfId="0" applyNumberFormat="1" applyFont="1" applyFill="1" applyBorder="1" applyAlignment="1" applyProtection="1">
      <alignment horizontal="center" vertical="center"/>
    </xf>
    <xf numFmtId="14" fontId="5" fillId="4" borderId="7" xfId="1" applyNumberFormat="1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/>
    </xf>
    <xf numFmtId="0" fontId="0" fillId="3" borderId="7" xfId="0" applyNumberFormat="1" applyFill="1" applyBorder="1" applyAlignment="1">
      <alignment horizontal="left" vertical="center"/>
    </xf>
    <xf numFmtId="0" fontId="0" fillId="3" borderId="1" xfId="0" applyFill="1" applyBorder="1" applyAlignment="1">
      <alignment horizontal="center"/>
    </xf>
    <xf numFmtId="14" fontId="5" fillId="4" borderId="7" xfId="1" applyNumberFormat="1" applyFont="1" applyFill="1" applyBorder="1" applyAlignment="1" applyProtection="1">
      <alignment horizontal="center" vertical="center" wrapText="1"/>
    </xf>
    <xf numFmtId="0" fontId="0" fillId="3" borderId="7" xfId="0" applyNumberFormat="1" applyFill="1" applyBorder="1" applyAlignment="1" applyProtection="1">
      <alignment horizontal="left" vertical="center"/>
    </xf>
    <xf numFmtId="14" fontId="3" fillId="0" borderId="0" xfId="0" applyNumberFormat="1" applyFont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 wrapText="1"/>
      <protection locked="0"/>
    </xf>
    <xf numFmtId="0" fontId="3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wrapText="1"/>
      <protection locked="0"/>
    </xf>
    <xf numFmtId="14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7" fillId="3" borderId="13" xfId="0" applyFont="1" applyFill="1" applyBorder="1" applyAlignment="1" applyProtection="1">
      <alignment horizontal="center" vertical="center"/>
      <protection locked="0"/>
    </xf>
    <xf numFmtId="0" fontId="0" fillId="3" borderId="9" xfId="0" applyFill="1" applyBorder="1" applyProtection="1">
      <protection locked="0"/>
    </xf>
    <xf numFmtId="1" fontId="0" fillId="3" borderId="3" xfId="0" applyNumberFormat="1" applyFill="1" applyBorder="1" applyProtection="1">
      <protection locked="0"/>
    </xf>
    <xf numFmtId="10" fontId="0" fillId="3" borderId="3" xfId="0" applyNumberFormat="1" applyFill="1" applyBorder="1" applyProtection="1">
      <protection locked="0"/>
    </xf>
    <xf numFmtId="166" fontId="0" fillId="3" borderId="3" xfId="0" applyNumberFormat="1" applyFill="1" applyBorder="1" applyProtection="1">
      <protection locked="0"/>
    </xf>
    <xf numFmtId="0" fontId="0" fillId="3" borderId="3" xfId="0" applyFill="1" applyBorder="1" applyProtection="1">
      <protection locked="0"/>
    </xf>
    <xf numFmtId="1" fontId="0" fillId="3" borderId="4" xfId="0" applyNumberFormat="1" applyFill="1" applyBorder="1" applyProtection="1">
      <protection locked="0"/>
    </xf>
    <xf numFmtId="0" fontId="0" fillId="0" borderId="0" xfId="0" applyBorder="1" applyProtection="1">
      <protection locked="0"/>
    </xf>
    <xf numFmtId="166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" fontId="0" fillId="3" borderId="9" xfId="0" applyNumberFormat="1" applyFill="1" applyBorder="1" applyProtection="1"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14" xfId="0" applyFill="1" applyBorder="1" applyAlignment="1" applyProtection="1">
      <protection locked="0"/>
    </xf>
    <xf numFmtId="0" fontId="0" fillId="0" borderId="0" xfId="0" applyFill="1" applyProtection="1"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29" xfId="0" applyFont="1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3" borderId="1" xfId="0" applyNumberFormat="1" applyFill="1" applyBorder="1" applyAlignment="1" applyProtection="1">
      <alignment horizontal="left" vertical="center"/>
    </xf>
    <xf numFmtId="167" fontId="0" fillId="0" borderId="0" xfId="0" applyNumberFormat="1"/>
    <xf numFmtId="1" fontId="0" fillId="0" borderId="0" xfId="0" applyNumberFormat="1"/>
    <xf numFmtId="10" fontId="0" fillId="0" borderId="0" xfId="0" applyNumberFormat="1"/>
    <xf numFmtId="0" fontId="7" fillId="0" borderId="0" xfId="0" applyFont="1"/>
    <xf numFmtId="0" fontId="0" fillId="0" borderId="0" xfId="0" applyAlignment="1"/>
    <xf numFmtId="14" fontId="5" fillId="5" borderId="7" xfId="1" applyNumberFormat="1" applyFont="1" applyFill="1" applyBorder="1" applyAlignment="1" applyProtection="1">
      <alignment horizontal="center" vertical="center" wrapText="1"/>
    </xf>
    <xf numFmtId="0" fontId="8" fillId="5" borderId="7" xfId="0" applyNumberFormat="1" applyFont="1" applyFill="1" applyBorder="1" applyAlignment="1" applyProtection="1">
      <alignment horizontal="center" vertical="center"/>
    </xf>
    <xf numFmtId="14" fontId="5" fillId="6" borderId="7" xfId="1" applyNumberFormat="1" applyFont="1" applyFill="1" applyBorder="1" applyAlignment="1" applyProtection="1">
      <alignment horizontal="center" vertical="center" wrapText="1"/>
    </xf>
    <xf numFmtId="0" fontId="8" fillId="6" borderId="7" xfId="0" applyNumberFormat="1" applyFont="1" applyFill="1" applyBorder="1" applyAlignment="1" applyProtection="1">
      <alignment horizontal="center" vertical="center"/>
    </xf>
    <xf numFmtId="14" fontId="5" fillId="7" borderId="7" xfId="1" applyNumberFormat="1" applyFont="1" applyFill="1" applyBorder="1" applyAlignment="1" applyProtection="1">
      <alignment horizontal="center" vertical="center" wrapText="1"/>
    </xf>
    <xf numFmtId="9" fontId="8" fillId="3" borderId="7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wrapText="1"/>
      <protection locked="0"/>
    </xf>
    <xf numFmtId="0" fontId="0" fillId="3" borderId="1" xfId="0" applyFill="1" applyBorder="1" applyAlignment="1" applyProtection="1">
      <alignment horizontal="center"/>
    </xf>
    <xf numFmtId="1" fontId="0" fillId="0" borderId="0" xfId="0" applyNumberFormat="1" applyFill="1" applyAlignment="1" applyProtection="1">
      <alignment horizontal="center"/>
      <protection locked="0"/>
    </xf>
    <xf numFmtId="1" fontId="3" fillId="0" borderId="0" xfId="0" applyNumberFormat="1" applyFont="1" applyFill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  <protection locked="0"/>
    </xf>
    <xf numFmtId="21" fontId="0" fillId="0" borderId="0" xfId="0" applyNumberFormat="1" applyAlignment="1" applyProtection="1">
      <alignment horizontal="center"/>
      <protection locked="0"/>
    </xf>
    <xf numFmtId="21" fontId="0" fillId="3" borderId="1" xfId="0" applyNumberFormat="1" applyFill="1" applyBorder="1" applyAlignment="1" applyProtection="1">
      <alignment horizontal="center"/>
    </xf>
    <xf numFmtId="21" fontId="7" fillId="0" borderId="0" xfId="0" applyNumberFormat="1" applyFont="1" applyAlignment="1" applyProtection="1">
      <alignment horizontal="center" wrapText="1"/>
      <protection locked="0"/>
    </xf>
    <xf numFmtId="14" fontId="0" fillId="8" borderId="0" xfId="0" applyNumberFormat="1" applyFill="1" applyAlignment="1" applyProtection="1">
      <alignment horizontal="center"/>
      <protection locked="0"/>
    </xf>
    <xf numFmtId="165" fontId="0" fillId="8" borderId="0" xfId="0" applyNumberFormat="1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1" fontId="0" fillId="8" borderId="0" xfId="0" applyNumberFormat="1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 wrapText="1"/>
      <protection locked="0"/>
    </xf>
    <xf numFmtId="21" fontId="0" fillId="8" borderId="0" xfId="0" applyNumberFormat="1" applyFill="1" applyAlignment="1" applyProtection="1">
      <alignment horizontal="center"/>
      <protection locked="0"/>
    </xf>
    <xf numFmtId="14" fontId="0" fillId="3" borderId="13" xfId="0" applyNumberFormat="1" applyFill="1" applyBorder="1" applyAlignment="1" applyProtection="1">
      <alignment horizontal="center"/>
      <protection locked="0"/>
    </xf>
    <xf numFmtId="165" fontId="0" fillId="3" borderId="14" xfId="0" applyNumberFormat="1" applyFill="1" applyBorder="1" applyAlignment="1" applyProtection="1">
      <alignment horizontal="center"/>
      <protection locked="0"/>
    </xf>
    <xf numFmtId="14" fontId="0" fillId="3" borderId="15" xfId="0" applyNumberFormat="1" applyFill="1" applyBorder="1" applyAlignment="1" applyProtection="1">
      <alignment horizontal="center"/>
      <protection locked="0"/>
    </xf>
    <xf numFmtId="14" fontId="0" fillId="3" borderId="30" xfId="0" applyNumberFormat="1" applyFill="1" applyBorder="1" applyAlignment="1" applyProtection="1">
      <alignment horizontal="center"/>
      <protection locked="0"/>
    </xf>
    <xf numFmtId="165" fontId="0" fillId="3" borderId="0" xfId="0" applyNumberFormat="1" applyFill="1" applyBorder="1" applyAlignment="1" applyProtection="1">
      <alignment horizontal="center"/>
      <protection locked="0"/>
    </xf>
    <xf numFmtId="14" fontId="0" fillId="3" borderId="31" xfId="0" applyNumberFormat="1" applyFill="1" applyBorder="1" applyAlignment="1" applyProtection="1">
      <alignment horizontal="center"/>
      <protection locked="0"/>
    </xf>
    <xf numFmtId="14" fontId="0" fillId="3" borderId="32" xfId="0" applyNumberFormat="1" applyFill="1" applyBorder="1" applyAlignment="1" applyProtection="1">
      <alignment horizontal="center"/>
      <protection locked="0"/>
    </xf>
    <xf numFmtId="165" fontId="0" fillId="3" borderId="33" xfId="0" applyNumberFormat="1" applyFill="1" applyBorder="1" applyAlignment="1" applyProtection="1">
      <alignment horizontal="center"/>
      <protection locked="0"/>
    </xf>
    <xf numFmtId="14" fontId="0" fillId="3" borderId="34" xfId="0" applyNumberForma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7" fillId="0" borderId="0" xfId="0" applyFont="1" applyAlignment="1">
      <alignment horizontal="center" wrapText="1"/>
    </xf>
    <xf numFmtId="166" fontId="7" fillId="0" borderId="0" xfId="0" applyNumberFormat="1" applyFont="1" applyAlignment="1">
      <alignment horizontal="center" wrapText="1"/>
    </xf>
    <xf numFmtId="0" fontId="3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" wrapText="1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>
      <alignment horizontal="center" wrapText="1"/>
    </xf>
    <xf numFmtId="165" fontId="3" fillId="0" borderId="0" xfId="0" applyNumberFormat="1" applyFont="1" applyAlignment="1" applyProtection="1">
      <alignment horizontal="center"/>
    </xf>
    <xf numFmtId="14" fontId="3" fillId="0" borderId="0" xfId="0" applyNumberFormat="1" applyFont="1" applyAlignment="1" applyProtection="1">
      <alignment horizontal="center"/>
    </xf>
    <xf numFmtId="2" fontId="0" fillId="0" borderId="0" xfId="0" applyNumberFormat="1"/>
    <xf numFmtId="166" fontId="0" fillId="0" borderId="0" xfId="0" applyNumberFormat="1"/>
    <xf numFmtId="0" fontId="0" fillId="0" borderId="0" xfId="0" applyBorder="1"/>
    <xf numFmtId="1" fontId="0" fillId="3" borderId="4" xfId="0" applyNumberFormat="1" applyFill="1" applyBorder="1"/>
    <xf numFmtId="1" fontId="0" fillId="3" borderId="3" xfId="0" applyNumberFormat="1" applyFill="1" applyBorder="1"/>
    <xf numFmtId="0" fontId="0" fillId="3" borderId="3" xfId="0" applyFill="1" applyBorder="1"/>
    <xf numFmtId="166" fontId="0" fillId="3" borderId="3" xfId="0" applyNumberFormat="1" applyFill="1" applyBorder="1"/>
    <xf numFmtId="10" fontId="0" fillId="3" borderId="3" xfId="0" applyNumberFormat="1" applyFill="1" applyBorder="1"/>
    <xf numFmtId="0" fontId="0" fillId="3" borderId="9" xfId="0" applyFill="1" applyBorder="1"/>
    <xf numFmtId="0" fontId="7" fillId="3" borderId="13" xfId="0" applyFont="1" applyFill="1" applyBorder="1" applyAlignment="1">
      <alignment horizontal="center" vertical="center"/>
    </xf>
    <xf numFmtId="166" fontId="0" fillId="0" borderId="0" xfId="0" applyNumberFormat="1" applyAlignment="1" applyProtection="1">
      <alignment horizontal="center"/>
      <protection locked="0"/>
    </xf>
    <xf numFmtId="0" fontId="0" fillId="9" borderId="0" xfId="0" applyFill="1" applyAlignment="1" applyProtection="1">
      <alignment horizontal="center"/>
      <protection locked="0"/>
    </xf>
    <xf numFmtId="1" fontId="8" fillId="7" borderId="7" xfId="0" applyNumberFormat="1" applyFont="1" applyFill="1" applyBorder="1" applyAlignment="1" applyProtection="1">
      <alignment horizontal="center" vertical="center"/>
    </xf>
    <xf numFmtId="0" fontId="16" fillId="0" borderId="0" xfId="0" applyFont="1"/>
    <xf numFmtId="0" fontId="0" fillId="0" borderId="3" xfId="0" applyFill="1" applyBorder="1" applyAlignment="1" applyProtection="1">
      <alignment horizontal="center"/>
      <protection locked="0"/>
    </xf>
    <xf numFmtId="0" fontId="17" fillId="0" borderId="0" xfId="0" applyFont="1"/>
    <xf numFmtId="0" fontId="0" fillId="0" borderId="0" xfId="0" applyFill="1" applyAlignment="1" applyProtection="1">
      <alignment horizontal="center"/>
      <protection locked="0"/>
    </xf>
    <xf numFmtId="0" fontId="0" fillId="10" borderId="0" xfId="0" applyFill="1" applyAlignment="1" applyProtection="1">
      <alignment horizontal="center" wrapText="1"/>
      <protection locked="0"/>
    </xf>
    <xf numFmtId="0" fontId="0" fillId="0" borderId="0" xfId="0" applyAlignment="1">
      <alignment horizontal="center" wrapText="1"/>
    </xf>
    <xf numFmtId="0" fontId="0" fillId="0" borderId="0" xfId="0" applyFill="1" applyAlignment="1" applyProtection="1">
      <alignment horizontal="center" wrapText="1"/>
      <protection locked="0"/>
    </xf>
    <xf numFmtId="14" fontId="0" fillId="0" borderId="0" xfId="0" applyNumberFormat="1" applyFill="1" applyAlignment="1" applyProtection="1">
      <alignment horizontal="center"/>
      <protection locked="0"/>
    </xf>
    <xf numFmtId="165" fontId="0" fillId="0" borderId="0" xfId="0" applyNumberFormat="1" applyFill="1" applyAlignment="1" applyProtection="1">
      <alignment horizontal="center"/>
      <protection locked="0"/>
    </xf>
    <xf numFmtId="21" fontId="0" fillId="0" borderId="0" xfId="0" applyNumberFormat="1" applyFill="1" applyAlignment="1" applyProtection="1">
      <alignment horizontal="center"/>
      <protection locked="0"/>
    </xf>
    <xf numFmtId="14" fontId="18" fillId="0" borderId="0" xfId="0" applyNumberFormat="1" applyFont="1" applyAlignment="1">
      <alignment horizontal="center"/>
    </xf>
    <xf numFmtId="165" fontId="18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" fontId="18" fillId="0" borderId="0" xfId="0" applyNumberFormat="1" applyFont="1" applyAlignment="1">
      <alignment horizontal="center"/>
    </xf>
    <xf numFmtId="166" fontId="18" fillId="0" borderId="0" xfId="0" applyNumberFormat="1" applyFont="1" applyAlignment="1">
      <alignment horizontal="center"/>
    </xf>
    <xf numFmtId="22" fontId="18" fillId="0" borderId="0" xfId="0" applyNumberFormat="1" applyFont="1"/>
    <xf numFmtId="0" fontId="19" fillId="0" borderId="0" xfId="0" applyFont="1"/>
    <xf numFmtId="0" fontId="18" fillId="0" borderId="0" xfId="0" applyFont="1" applyAlignment="1">
      <alignment horizontal="center" wrapText="1"/>
    </xf>
    <xf numFmtId="0" fontId="18" fillId="0" borderId="0" xfId="0" applyFont="1" applyFill="1" applyAlignment="1">
      <alignment horizontal="center"/>
    </xf>
    <xf numFmtId="0" fontId="18" fillId="0" borderId="0" xfId="0" applyFont="1"/>
    <xf numFmtId="0" fontId="19" fillId="10" borderId="0" xfId="0" applyFont="1" applyFill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/>
    <xf numFmtId="0" fontId="0" fillId="3" borderId="8" xfId="0" applyFill="1" applyBorder="1" applyAlignment="1" applyProtection="1"/>
    <xf numFmtId="0" fontId="3" fillId="0" borderId="14" xfId="0" applyFont="1" applyFill="1" applyBorder="1" applyAlignment="1" applyProtection="1">
      <alignment horizontal="center"/>
      <protection locked="0"/>
    </xf>
    <xf numFmtId="0" fontId="7" fillId="3" borderId="13" xfId="0" applyFont="1" applyFill="1" applyBorder="1" applyAlignment="1" applyProtection="1">
      <alignment horizontal="center" vertical="center"/>
      <protection locked="0"/>
    </xf>
    <xf numFmtId="0" fontId="7" fillId="3" borderId="13" xfId="0" applyFont="1" applyFill="1" applyBorder="1" applyAlignment="1" applyProtection="1">
      <alignment horizontal="center" vertical="center"/>
      <protection locked="0"/>
    </xf>
    <xf numFmtId="1" fontId="8" fillId="6" borderId="7" xfId="0" applyNumberFormat="1" applyFont="1" applyFill="1" applyBorder="1" applyAlignment="1" applyProtection="1">
      <alignment horizontal="center" vertical="center"/>
    </xf>
    <xf numFmtId="166" fontId="0" fillId="3" borderId="1" xfId="0" applyNumberFormat="1" applyFill="1" applyBorder="1" applyAlignment="1" applyProtection="1">
      <alignment horizontal="center"/>
    </xf>
    <xf numFmtId="166" fontId="7" fillId="0" borderId="0" xfId="0" applyNumberFormat="1" applyFont="1" applyAlignment="1" applyProtection="1">
      <alignment horizontal="center" wrapText="1"/>
      <protection locked="0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0" fillId="3" borderId="16" xfId="0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0" fillId="3" borderId="11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14" fontId="10" fillId="4" borderId="2" xfId="1" applyNumberFormat="1" applyFont="1" applyFill="1" applyBorder="1" applyAlignment="1">
      <alignment horizontal="right" vertical="center" wrapText="1"/>
    </xf>
    <xf numFmtId="14" fontId="10" fillId="4" borderId="8" xfId="1" applyNumberFormat="1" applyFont="1" applyFill="1" applyBorder="1" applyAlignment="1">
      <alignment horizontal="right" vertical="center" wrapText="1"/>
    </xf>
    <xf numFmtId="0" fontId="0" fillId="3" borderId="12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0" fontId="0" fillId="3" borderId="17" xfId="0" applyFill="1" applyBorder="1" applyAlignment="1">
      <alignment horizontal="left"/>
    </xf>
    <xf numFmtId="0" fontId="0" fillId="3" borderId="18" xfId="0" applyFill="1" applyBorder="1" applyAlignment="1">
      <alignment horizontal="left"/>
    </xf>
    <xf numFmtId="0" fontId="0" fillId="3" borderId="19" xfId="0" applyFill="1" applyBorder="1" applyAlignment="1">
      <alignment horizontal="left"/>
    </xf>
    <xf numFmtId="0" fontId="0" fillId="3" borderId="2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left"/>
      <protection locked="0"/>
    </xf>
    <xf numFmtId="0" fontId="0" fillId="3" borderId="17" xfId="0" applyFill="1" applyBorder="1" applyAlignment="1" applyProtection="1">
      <alignment horizontal="left"/>
      <protection locked="0"/>
    </xf>
    <xf numFmtId="0" fontId="0" fillId="3" borderId="18" xfId="0" applyFill="1" applyBorder="1" applyAlignment="1" applyProtection="1">
      <alignment horizontal="left"/>
      <protection locked="0"/>
    </xf>
    <xf numFmtId="0" fontId="0" fillId="3" borderId="19" xfId="0" applyFill="1" applyBorder="1" applyAlignment="1" applyProtection="1">
      <alignment horizontal="left"/>
      <protection locked="0"/>
    </xf>
    <xf numFmtId="0" fontId="9" fillId="3" borderId="2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0" fontId="9" fillId="3" borderId="8" xfId="0" applyFont="1" applyFill="1" applyBorder="1" applyAlignment="1">
      <alignment horizontal="center" vertical="top"/>
    </xf>
    <xf numFmtId="0" fontId="0" fillId="3" borderId="11" xfId="0" applyFill="1" applyBorder="1" applyAlignment="1" applyProtection="1">
      <alignment horizontal="left"/>
      <protection locked="0"/>
    </xf>
    <xf numFmtId="0" fontId="0" fillId="3" borderId="5" xfId="0" applyFill="1" applyBorder="1" applyAlignment="1" applyProtection="1">
      <alignment horizontal="left"/>
      <protection locked="0"/>
    </xf>
    <xf numFmtId="0" fontId="7" fillId="3" borderId="13" xfId="0" applyFont="1" applyFill="1" applyBorder="1" applyAlignment="1" applyProtection="1">
      <alignment horizontal="center" vertical="center"/>
      <protection locked="0"/>
    </xf>
    <xf numFmtId="0" fontId="7" fillId="3" borderId="14" xfId="0" applyFont="1" applyFill="1" applyBorder="1" applyAlignment="1" applyProtection="1">
      <alignment horizontal="center" vertical="center"/>
      <protection locked="0"/>
    </xf>
    <xf numFmtId="0" fontId="7" fillId="3" borderId="15" xfId="0" applyFont="1" applyFill="1" applyBorder="1" applyAlignment="1" applyProtection="1">
      <alignment horizontal="center" vertical="center"/>
      <protection locked="0"/>
    </xf>
    <xf numFmtId="0" fontId="0" fillId="3" borderId="16" xfId="0" applyFill="1" applyBorder="1" applyAlignment="1" applyProtection="1">
      <alignment horizontal="left"/>
      <protection locked="0"/>
    </xf>
    <xf numFmtId="0" fontId="0" fillId="3" borderId="10" xfId="0" applyFill="1" applyBorder="1" applyAlignment="1" applyProtection="1">
      <alignment horizontal="left"/>
      <protection locked="0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/>
      <protection locked="0"/>
    </xf>
    <xf numFmtId="0" fontId="0" fillId="3" borderId="6" xfId="0" applyFill="1" applyBorder="1" applyAlignment="1" applyProtection="1">
      <alignment horizontal="left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7" fillId="3" borderId="8" xfId="0" applyFont="1" applyFill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6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0" fontId="0" fillId="0" borderId="17" xfId="0" applyFill="1" applyBorder="1" applyAlignment="1" applyProtection="1">
      <alignment horizontal="left"/>
      <protection locked="0"/>
    </xf>
    <xf numFmtId="0" fontId="0" fillId="0" borderId="18" xfId="0" applyFill="1" applyBorder="1" applyAlignment="1" applyProtection="1">
      <alignment horizontal="left"/>
      <protection locked="0"/>
    </xf>
    <xf numFmtId="0" fontId="0" fillId="0" borderId="19" xfId="0" applyFill="1" applyBorder="1" applyAlignment="1" applyProtection="1">
      <alignment horizontal="left"/>
      <protection locked="0"/>
    </xf>
    <xf numFmtId="0" fontId="0" fillId="0" borderId="11" xfId="0" applyFill="1" applyBorder="1" applyAlignment="1" applyProtection="1">
      <alignment horizontal="left"/>
      <protection locked="0"/>
    </xf>
    <xf numFmtId="0" fontId="0" fillId="0" borderId="5" xfId="0" applyFill="1" applyBorder="1" applyAlignment="1" applyProtection="1">
      <alignment horizontal="left"/>
      <protection locked="0"/>
    </xf>
    <xf numFmtId="0" fontId="0" fillId="3" borderId="23" xfId="0" applyFill="1" applyBorder="1" applyAlignment="1" applyProtection="1">
      <alignment horizontal="left"/>
      <protection locked="0"/>
    </xf>
    <xf numFmtId="0" fontId="0" fillId="3" borderId="24" xfId="0" applyFill="1" applyBorder="1" applyAlignment="1" applyProtection="1">
      <alignment horizontal="left"/>
      <protection locked="0"/>
    </xf>
    <xf numFmtId="0" fontId="0" fillId="3" borderId="25" xfId="0" applyFill="1" applyBorder="1" applyAlignment="1" applyProtection="1">
      <alignment horizontal="left"/>
      <protection locked="0"/>
    </xf>
    <xf numFmtId="0" fontId="7" fillId="3" borderId="26" xfId="0" applyFont="1" applyFill="1" applyBorder="1" applyAlignment="1" applyProtection="1">
      <alignment horizontal="center" vertical="center" wrapText="1"/>
      <protection locked="0"/>
    </xf>
    <xf numFmtId="0" fontId="7" fillId="3" borderId="1" xfId="0" applyFont="1" applyFill="1" applyBorder="1" applyAlignment="1" applyProtection="1">
      <alignment horizontal="center" vertical="center" wrapText="1"/>
      <protection locked="0"/>
    </xf>
    <xf numFmtId="0" fontId="7" fillId="3" borderId="8" xfId="0" applyFont="1" applyFill="1" applyBorder="1" applyAlignment="1" applyProtection="1">
      <alignment horizontal="center" vertical="center" wrapText="1"/>
      <protection locked="0"/>
    </xf>
    <xf numFmtId="0" fontId="0" fillId="3" borderId="20" xfId="0" applyFill="1" applyBorder="1" applyAlignment="1" applyProtection="1">
      <alignment horizontal="left"/>
      <protection locked="0"/>
    </xf>
    <xf numFmtId="0" fontId="0" fillId="3" borderId="21" xfId="0" applyFill="1" applyBorder="1" applyAlignment="1" applyProtection="1">
      <alignment horizontal="left"/>
      <protection locked="0"/>
    </xf>
    <xf numFmtId="0" fontId="0" fillId="3" borderId="22" xfId="0" applyFill="1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7" fillId="0" borderId="28" xfId="0" applyFont="1" applyFill="1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right"/>
    </xf>
  </cellXfs>
  <cellStyles count="5">
    <cellStyle name="20% - Accent1" xfId="1" builtinId="30"/>
    <cellStyle name="Hyperlink 2" xfId="2"/>
    <cellStyle name="Normal" xfId="0" builtinId="0"/>
    <cellStyle name="Normal 2" xfId="3"/>
    <cellStyle name="Normal 4" xfId="4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992727"/>
      <color rgb="FF8A0000"/>
      <color rgb="FF0033CC"/>
      <color rgb="FF663300"/>
      <color rgb="FFFFCC00"/>
      <color rgb="FFFF6600"/>
      <color rgb="FF00FF00"/>
      <color rgb="FFFF7C80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8"/>
  <c:chart>
    <c:view3D>
      <c:rotY val="12"/>
      <c:depthPercent val="100"/>
      <c:perspective val="30"/>
    </c:view3D>
    <c:floor>
      <c:spPr>
        <a:solidFill>
          <a:sysClr val="window" lastClr="FFFFFF"/>
        </a:solidFill>
      </c:spPr>
    </c:floor>
    <c:sideWall>
      <c:spPr>
        <a:solidFill>
          <a:sysClr val="window" lastClr="FFFFFF"/>
        </a:solidFill>
      </c:spPr>
    </c:sideWall>
    <c:backWall>
      <c:spPr>
        <a:solidFill>
          <a:sysClr val="window" lastClr="FFFFFF"/>
        </a:solidFill>
      </c:spPr>
    </c:backWall>
    <c:plotArea>
      <c:layout>
        <c:manualLayout>
          <c:layoutTarget val="inner"/>
          <c:xMode val="edge"/>
          <c:yMode val="edge"/>
          <c:x val="8.1557015222465848E-2"/>
          <c:y val="0.10648720708777151"/>
          <c:w val="0.67831499776830362"/>
          <c:h val="0.84947681117159779"/>
        </c:manualLayout>
      </c:layout>
      <c:bar3DChart>
        <c:barDir val="col"/>
        <c:grouping val="clustered"/>
        <c:ser>
          <c:idx val="0"/>
          <c:order val="0"/>
          <c:tx>
            <c:strRef>
              <c:f>'Vehicle Metrics'!$B$9</c:f>
              <c:strCache>
                <c:ptCount val="1"/>
                <c:pt idx="0">
                  <c:v>Total # of Radios Checked In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 w="9525">
              <a:solidFill>
                <a:sysClr val="windowText" lastClr="000000"/>
              </a:solidFill>
            </a:ln>
          </c:spPr>
          <c:val>
            <c:numRef>
              <c:f>'Vehicle Metrics'!$A$9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1"/>
          <c:tx>
            <c:strRef>
              <c:f>'Vehicle Metrics'!$B$10</c:f>
              <c:strCache>
                <c:ptCount val="1"/>
                <c:pt idx="0">
                  <c:v>Total # of Radios Checked Out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9525">
              <a:solidFill>
                <a:sysClr val="windowText" lastClr="000000"/>
              </a:solidFill>
            </a:ln>
          </c:spPr>
          <c:cat>
            <c:strRef>
              <c:f>'Vehicle Metrics'!$B$3</c:f>
              <c:strCache>
                <c:ptCount val="1"/>
                <c:pt idx="0">
                  <c:v>Description</c:v>
                </c:pt>
              </c:strCache>
            </c:strRef>
          </c:cat>
          <c:val>
            <c:numRef>
              <c:f>'Vehicle Metrics'!$A$10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2"/>
          <c:tx>
            <c:strRef>
              <c:f>'Vehicle Metrics'!$B$11</c:f>
              <c:strCache>
                <c:ptCount val="1"/>
                <c:pt idx="0">
                  <c:v>Total # of Radios Not Checked Out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</c:spPr>
          <c:cat>
            <c:strRef>
              <c:f>'Vehicle Metrics'!$B$3</c:f>
              <c:strCache>
                <c:ptCount val="1"/>
                <c:pt idx="0">
                  <c:v>Description</c:v>
                </c:pt>
              </c:strCache>
            </c:strRef>
          </c:cat>
          <c:val>
            <c:numRef>
              <c:f>'Vehicle Metrics'!$A$11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3"/>
          <c:tx>
            <c:strRef>
              <c:f>'Vehicle Metrics'!$B$12</c:f>
              <c:strCache>
                <c:ptCount val="1"/>
                <c:pt idx="0">
                  <c:v>Total # of Updated Radios</c:v>
                </c:pt>
              </c:strCache>
            </c:strRef>
          </c:tx>
          <c:spPr>
            <a:solidFill>
              <a:schemeClr val="tx2"/>
            </a:solidFill>
            <a:ln>
              <a:solidFill>
                <a:sysClr val="windowText" lastClr="000000"/>
              </a:solidFill>
            </a:ln>
          </c:spPr>
          <c:cat>
            <c:strRef>
              <c:f>'Vehicle Metrics'!$B$3</c:f>
              <c:strCache>
                <c:ptCount val="1"/>
                <c:pt idx="0">
                  <c:v>Description</c:v>
                </c:pt>
              </c:strCache>
            </c:strRef>
          </c:cat>
          <c:val>
            <c:numRef>
              <c:f>'Vehicle Metrics'!$A$12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4"/>
          <c:tx>
            <c:strRef>
              <c:f>'Vehicle Metrics'!$B$13</c:f>
              <c:strCache>
                <c:ptCount val="1"/>
                <c:pt idx="0">
                  <c:v>Total # of Codeplug Updated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cat>
            <c:strRef>
              <c:f>'Vehicle Metrics'!$B$3</c:f>
              <c:strCache>
                <c:ptCount val="1"/>
                <c:pt idx="0">
                  <c:v>Description</c:v>
                </c:pt>
              </c:strCache>
            </c:strRef>
          </c:cat>
          <c:val>
            <c:numRef>
              <c:f>'Vehicle Metrics'!$A$13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5"/>
          <c:tx>
            <c:strRef>
              <c:f>'Vehicle Metrics'!$B$14</c:f>
              <c:strCache>
                <c:ptCount val="1"/>
                <c:pt idx="0">
                  <c:v>Total # of Radios Re-optioned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cat>
            <c:strRef>
              <c:f>'Vehicle Metrics'!$B$3</c:f>
              <c:strCache>
                <c:ptCount val="1"/>
                <c:pt idx="0">
                  <c:v>Description</c:v>
                </c:pt>
              </c:strCache>
            </c:strRef>
          </c:cat>
          <c:val>
            <c:numRef>
              <c:f>'Vehicle Metrics'!$A$14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6"/>
          <c:tx>
            <c:strRef>
              <c:f>'Vehicle Metrics'!$B$15</c:f>
              <c:strCache>
                <c:ptCount val="1"/>
                <c:pt idx="0">
                  <c:v>Total # of X Portables</c:v>
                </c:pt>
              </c:strCache>
            </c:strRef>
          </c:tx>
          <c:spPr>
            <a:solidFill>
              <a:srgbClr val="F1F61E"/>
            </a:solidFill>
            <a:ln>
              <a:solidFill>
                <a:sysClr val="windowText" lastClr="000000"/>
              </a:solidFill>
            </a:ln>
          </c:spPr>
          <c:cat>
            <c:strRef>
              <c:f>'Vehicle Metrics'!$B$3</c:f>
              <c:strCache>
                <c:ptCount val="1"/>
                <c:pt idx="0">
                  <c:v>Description</c:v>
                </c:pt>
              </c:strCache>
            </c:strRef>
          </c:cat>
          <c:val>
            <c:numRef>
              <c:f>'Vehicle Metrics'!$A$15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7"/>
          <c:tx>
            <c:strRef>
              <c:f>'Vehicle Metrics'!$B$16</c:f>
              <c:strCache>
                <c:ptCount val="1"/>
                <c:pt idx="0">
                  <c:v>Total # of ES Portables</c:v>
                </c:pt>
              </c:strCache>
            </c:strRef>
          </c:tx>
          <c:spPr>
            <a:ln w="9525">
              <a:solidFill>
                <a:sysClr val="windowText" lastClr="000000"/>
              </a:solidFill>
            </a:ln>
          </c:spPr>
          <c:val>
            <c:numRef>
              <c:f>'Vehicle Metrics'!$A$16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8"/>
          <c:tx>
            <c:strRef>
              <c:f>'Vehicle Metrics'!$B$17</c:f>
              <c:strCache>
                <c:ptCount val="1"/>
                <c:pt idx="0">
                  <c:v>Total # of X Mobiles</c:v>
                </c:pt>
              </c:strCache>
            </c:strRef>
          </c:tx>
          <c:spPr>
            <a:solidFill>
              <a:srgbClr val="B2287A"/>
            </a:solidFill>
            <a:ln>
              <a:solidFill>
                <a:sysClr val="windowText" lastClr="000000"/>
              </a:solidFill>
            </a:ln>
          </c:spPr>
          <c:cat>
            <c:strRef>
              <c:f>'Vehicle Metrics'!$B$3</c:f>
              <c:strCache>
                <c:ptCount val="1"/>
                <c:pt idx="0">
                  <c:v>Description</c:v>
                </c:pt>
              </c:strCache>
            </c:strRef>
          </c:cat>
          <c:val>
            <c:numRef>
              <c:f>'Vehicle Metrics'!$A$17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hape val="box"/>
        <c:axId val="127824256"/>
        <c:axId val="127825792"/>
        <c:axId val="0"/>
      </c:bar3DChart>
      <c:catAx>
        <c:axId val="127824256"/>
        <c:scaling>
          <c:orientation val="minMax"/>
        </c:scaling>
        <c:delete val="1"/>
        <c:axPos val="b"/>
        <c:numFmt formatCode="General" sourceLinked="1"/>
        <c:tickLblPos val="none"/>
        <c:crossAx val="127825792"/>
        <c:crosses val="autoZero"/>
        <c:lblAlgn val="ctr"/>
        <c:lblOffset val="100"/>
      </c:catAx>
      <c:valAx>
        <c:axId val="127825792"/>
        <c:scaling>
          <c:orientation val="minMax"/>
          <c:min val="0"/>
        </c:scaling>
        <c:axPos val="l"/>
        <c:majorGridlines>
          <c:spPr>
            <a:ln w="9525" cap="flat" cmpd="sng" algn="ctr">
              <a:solidFill>
                <a:schemeClr val="dk1">
                  <a:shade val="95000"/>
                  <a:satMod val="105000"/>
                </a:schemeClr>
              </a:solidFill>
              <a:prstDash val="solid"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shade val="95000"/>
                  <a:satMod val="105000"/>
                </a:schemeClr>
              </a:solidFill>
              <a:prstDash val="solid"/>
            </a:ln>
            <a:effectLst/>
          </c:spPr>
        </c:minorGridlines>
        <c:numFmt formatCode="0" sourceLinked="1"/>
        <c:tickLblPos val="nextTo"/>
        <c:crossAx val="127824256"/>
        <c:crosses val="autoZero"/>
        <c:crossBetween val="between"/>
        <c:majorUnit val="4"/>
        <c:minorUnit val="2"/>
      </c:valAx>
      <c:spPr>
        <a:gradFill rotWithShape="1">
          <a:gsLst>
            <a:gs pos="0">
              <a:schemeClr val="dk1">
                <a:shade val="51000"/>
                <a:satMod val="130000"/>
              </a:schemeClr>
            </a:gs>
            <a:gs pos="80000">
              <a:schemeClr val="dk1">
                <a:shade val="93000"/>
                <a:satMod val="130000"/>
              </a:schemeClr>
            </a:gs>
            <a:gs pos="100000">
              <a:schemeClr val="dk1">
                <a:shade val="94000"/>
                <a:satMod val="135000"/>
              </a:schemeClr>
            </a:gs>
          </a:gsLst>
          <a:lin ang="16200000" scaled="0"/>
        </a:gradFill>
        <a:ln w="9525" cap="flat" cmpd="sng" algn="ctr">
          <a:solidFill>
            <a:schemeClr val="dk1">
              <a:shade val="95000"/>
              <a:satMod val="105000"/>
            </a:scheme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c:spPr>
    </c:plotArea>
    <c:legend>
      <c:legendPos val="r"/>
      <c:spPr>
        <a:solidFill>
          <a:schemeClr val="tx1"/>
        </a:solidFill>
        <a:ln w="25400" cap="flat" cmpd="sng" algn="ctr">
          <a:solidFill>
            <a:schemeClr val="accent2"/>
          </a:solidFill>
          <a:prstDash val="solid"/>
        </a:ln>
        <a:effectLst/>
      </c:spPr>
    </c:legend>
    <c:plotVisOnly val="1"/>
    <c:dispBlanksAs val="gap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3000" dir="5400000" rotWithShape="0">
        <a:srgbClr val="000000">
          <a:alpha val="35000"/>
        </a:srgb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777" l="0.70000000000000062" r="0.70000000000000062" t="0.750000000000007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8"/>
  <c:chart>
    <c:title>
      <c:tx>
        <c:rich>
          <a:bodyPr/>
          <a:lstStyle/>
          <a:p>
            <a:pPr>
              <a:defRPr sz="1000"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1000">
                <a:latin typeface="Verdana" pitchFamily="34" charset="0"/>
                <a:ea typeface="Verdana" pitchFamily="34" charset="0"/>
                <a:cs typeface="Verdana" pitchFamily="34" charset="0"/>
              </a:rPr>
              <a:t>Project</a:t>
            </a:r>
            <a:r>
              <a:rPr lang="en-US" sz="1000" baseline="0">
                <a:latin typeface="Verdana" pitchFamily="34" charset="0"/>
                <a:ea typeface="Verdana" pitchFamily="34" charset="0"/>
                <a:cs typeface="Verdana" pitchFamily="34" charset="0"/>
              </a:rPr>
              <a:t> Completion Status</a:t>
            </a:r>
            <a:endParaRPr lang="en-US" sz="1000"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'Vehicle Metrics'!$B$6</c:f>
              <c:strCache>
                <c:ptCount val="1"/>
                <c:pt idx="0">
                  <c:v>Percentage Complete</c:v>
                </c:pt>
              </c:strCache>
            </c:strRef>
          </c:tx>
          <c:cat>
            <c:numRef>
              <c:f>'Vehicle Metrics'!$A$6</c:f>
              <c:numCache>
                <c:formatCode>0.00%</c:formatCode>
                <c:ptCount val="1"/>
                <c:pt idx="0">
                  <c:v>0</c:v>
                </c:pt>
              </c:numCache>
            </c:numRef>
          </c:cat>
          <c:val>
            <c:numRef>
              <c:f>'Vehicle Metrics'!$A$6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axId val="127853696"/>
        <c:axId val="127855232"/>
      </c:barChart>
      <c:catAx>
        <c:axId val="127853696"/>
        <c:scaling>
          <c:orientation val="minMax"/>
        </c:scaling>
        <c:delete val="1"/>
        <c:axPos val="l"/>
        <c:numFmt formatCode="0.00%" sourceLinked="1"/>
        <c:tickLblPos val="none"/>
        <c:crossAx val="127855232"/>
        <c:crosses val="autoZero"/>
        <c:auto val="1"/>
        <c:lblAlgn val="ctr"/>
        <c:lblOffset val="100"/>
      </c:catAx>
      <c:valAx>
        <c:axId val="127855232"/>
        <c:scaling>
          <c:orientation val="minMax"/>
          <c:max val="1"/>
          <c:min val="0"/>
        </c:scaling>
        <c:axPos val="b"/>
        <c:majorGridlines/>
        <c:numFmt formatCode="0.00%" sourceLinked="1"/>
        <c:tickLblPos val="nextTo"/>
        <c:crossAx val="127853696"/>
        <c:crosses val="autoZero"/>
        <c:crossBetween val="between"/>
      </c:valAx>
    </c:plotArea>
    <c:plotVisOnly val="1"/>
    <c:dispBlanksAs val="gap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28575">
      <a:solidFill>
        <a:schemeClr val="bg1"/>
      </a:solidFill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733" l="0.70000000000000062" r="0.70000000000000062" t="0.750000000000007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5"/>
  <c:chart>
    <c:title>
      <c:layout>
        <c:manualLayout>
          <c:xMode val="edge"/>
          <c:yMode val="edge"/>
          <c:x val="0.11661877394636019"/>
          <c:y val="1.5581524763494885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strRef>
              <c:f>'Vehicle Metrics'!$B$7</c:f>
              <c:strCache>
                <c:ptCount val="1"/>
                <c:pt idx="0">
                  <c:v>Avg. Time of Completion</c:v>
                </c:pt>
              </c:strCache>
            </c:strRef>
          </c:tx>
          <c:dPt>
            <c:idx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numRef>
              <c:f>'Vehicle Metrics'!$A$7</c:f>
              <c:numCache>
                <c:formatCode>hh:mm:ss</c:formatCode>
                <c:ptCount val="1"/>
                <c:pt idx="0">
                  <c:v>0</c:v>
                </c:pt>
              </c:numCache>
            </c:numRef>
          </c:cat>
          <c:val>
            <c:numRef>
              <c:f>'Vehicle Metrics'!$A$65515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axId val="140981376"/>
        <c:axId val="140982912"/>
      </c:barChart>
      <c:catAx>
        <c:axId val="140981376"/>
        <c:scaling>
          <c:orientation val="minMax"/>
        </c:scaling>
        <c:delete val="1"/>
        <c:axPos val="b"/>
        <c:numFmt formatCode="hh:mm:ss" sourceLinked="1"/>
        <c:tickLblPos val="none"/>
        <c:crossAx val="140982912"/>
        <c:crosses val="autoZero"/>
        <c:auto val="1"/>
        <c:lblAlgn val="ctr"/>
        <c:lblOffset val="100"/>
      </c:catAx>
      <c:valAx>
        <c:axId val="140982912"/>
        <c:scaling>
          <c:orientation val="minMax"/>
          <c:max val="60"/>
          <c:min val="0"/>
        </c:scaling>
        <c:axPos val="l"/>
        <c:majorGridlines/>
        <c:numFmt formatCode="General" sourceLinked="0"/>
        <c:tickLblPos val="nextTo"/>
        <c:crossAx val="140981376"/>
        <c:crosses val="autoZero"/>
        <c:crossBetween val="between"/>
        <c:majorUnit val="5"/>
        <c:minorUnit val="1.5"/>
      </c:valAx>
      <c:spPr>
        <a:gradFill flip="none" rotWithShape="1">
          <a:gsLst>
            <a:gs pos="0">
              <a:srgbClr val="C0504D">
                <a:lumMod val="75000"/>
              </a:srgbClr>
            </a:gs>
            <a:gs pos="50000">
              <a:srgbClr val="9BBB59">
                <a:lumMod val="75000"/>
              </a:srgbClr>
            </a:gs>
          </a:gsLst>
          <a:lin ang="5400000" scaled="1"/>
          <a:tileRect/>
        </a:gradFill>
      </c:spPr>
    </c:plotArea>
    <c:plotVisOnly val="1"/>
    <c:dispBlanksAs val="gap"/>
  </c:chart>
  <c:spPr>
    <a:ln w="28575">
      <a:solidFill>
        <a:schemeClr val="bg1"/>
      </a:solidFill>
    </a:ln>
  </c:spPr>
  <c:printSettings>
    <c:headerFooter/>
    <c:pageMargins b="0.75000000000000733" l="0.70000000000000062" r="0.70000000000000062" t="0.750000000000007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8"/>
  <c:chart>
    <c:view3D>
      <c:rotY val="12"/>
      <c:depthPercent val="100"/>
      <c:perspective val="30"/>
    </c:view3D>
    <c:floor>
      <c:spPr>
        <a:solidFill>
          <a:sysClr val="window" lastClr="FFFFFF"/>
        </a:solidFill>
      </c:spPr>
    </c:floor>
    <c:sideWall>
      <c:spPr>
        <a:solidFill>
          <a:sysClr val="window" lastClr="FFFFFF"/>
        </a:solidFill>
      </c:spPr>
    </c:sideWall>
    <c:backWall>
      <c:spPr>
        <a:solidFill>
          <a:sysClr val="window" lastClr="FFFFFF"/>
        </a:solidFill>
      </c:spPr>
    </c:backWall>
    <c:plotArea>
      <c:layout>
        <c:manualLayout>
          <c:layoutTarget val="inner"/>
          <c:xMode val="edge"/>
          <c:yMode val="edge"/>
          <c:x val="8.1557015222465848E-2"/>
          <c:y val="0.10648720708777151"/>
          <c:w val="0.67831499776830362"/>
          <c:h val="0.84947681117159879"/>
        </c:manualLayout>
      </c:layout>
      <c:bar3DChart>
        <c:barDir val="col"/>
        <c:grouping val="clustered"/>
        <c:ser>
          <c:idx val="0"/>
          <c:order val="0"/>
          <c:tx>
            <c:strRef>
              <c:f>Metrics!$B$9</c:f>
              <c:strCache>
                <c:ptCount val="1"/>
                <c:pt idx="0">
                  <c:v>Total # of Radios Checked In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 w="9525">
              <a:solidFill>
                <a:sysClr val="windowText" lastClr="000000"/>
              </a:solidFill>
            </a:ln>
          </c:spPr>
          <c:val>
            <c:numRef>
              <c:f>Metrics!$A$9</c:f>
              <c:numCache>
                <c:formatCode>0</c:formatCode>
                <c:ptCount val="1"/>
                <c:pt idx="0">
                  <c:v>459</c:v>
                </c:pt>
              </c:numCache>
            </c:numRef>
          </c:val>
        </c:ser>
        <c:ser>
          <c:idx val="3"/>
          <c:order val="1"/>
          <c:tx>
            <c:strRef>
              <c:f>Metrics!$B$10</c:f>
              <c:strCache>
                <c:ptCount val="1"/>
                <c:pt idx="0">
                  <c:v>Total # of Radios Checked Out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9525">
              <a:solidFill>
                <a:sysClr val="windowText" lastClr="000000"/>
              </a:solidFill>
            </a:ln>
          </c:spPr>
          <c:cat>
            <c:strRef>
              <c:f>Metrics!$B$3</c:f>
              <c:strCache>
                <c:ptCount val="1"/>
                <c:pt idx="0">
                  <c:v>Description</c:v>
                </c:pt>
              </c:strCache>
            </c:strRef>
          </c:cat>
          <c:val>
            <c:numRef>
              <c:f>Metrics!$A$10</c:f>
              <c:numCache>
                <c:formatCode>0</c:formatCode>
                <c:ptCount val="1"/>
                <c:pt idx="0">
                  <c:v>459</c:v>
                </c:pt>
              </c:numCache>
            </c:numRef>
          </c:val>
        </c:ser>
        <c:ser>
          <c:idx val="4"/>
          <c:order val="2"/>
          <c:tx>
            <c:strRef>
              <c:f>Metrics!$B$11</c:f>
              <c:strCache>
                <c:ptCount val="1"/>
                <c:pt idx="0">
                  <c:v>Total # of Radios Not Checked Out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</c:spPr>
          <c:cat>
            <c:strRef>
              <c:f>Metrics!$B$3</c:f>
              <c:strCache>
                <c:ptCount val="1"/>
                <c:pt idx="0">
                  <c:v>Description</c:v>
                </c:pt>
              </c:strCache>
            </c:strRef>
          </c:cat>
          <c:val>
            <c:numRef>
              <c:f>Metrics!$A$11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3"/>
          <c:tx>
            <c:strRef>
              <c:f>Metrics!$B$12</c:f>
              <c:strCache>
                <c:ptCount val="1"/>
                <c:pt idx="0">
                  <c:v>Total # of Radios Firmware Updated</c:v>
                </c:pt>
              </c:strCache>
            </c:strRef>
          </c:tx>
          <c:spPr>
            <a:solidFill>
              <a:schemeClr val="tx2"/>
            </a:solidFill>
            <a:ln>
              <a:solidFill>
                <a:sysClr val="windowText" lastClr="000000"/>
              </a:solidFill>
            </a:ln>
          </c:spPr>
          <c:cat>
            <c:strRef>
              <c:f>Metrics!$B$3</c:f>
              <c:strCache>
                <c:ptCount val="1"/>
                <c:pt idx="0">
                  <c:v>Description</c:v>
                </c:pt>
              </c:strCache>
            </c:strRef>
          </c:cat>
          <c:val>
            <c:numRef>
              <c:f>Metrics!$A$12</c:f>
              <c:numCache>
                <c:formatCode>0</c:formatCode>
                <c:ptCount val="1"/>
                <c:pt idx="0">
                  <c:v>405</c:v>
                </c:pt>
              </c:numCache>
            </c:numRef>
          </c:val>
        </c:ser>
        <c:ser>
          <c:idx val="6"/>
          <c:order val="4"/>
          <c:tx>
            <c:strRef>
              <c:f>Metrics!$B$13</c:f>
              <c:strCache>
                <c:ptCount val="1"/>
                <c:pt idx="0">
                  <c:v>Total # of Codeplug Updated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cat>
            <c:strRef>
              <c:f>Metrics!$B$3</c:f>
              <c:strCache>
                <c:ptCount val="1"/>
                <c:pt idx="0">
                  <c:v>Description</c:v>
                </c:pt>
              </c:strCache>
            </c:strRef>
          </c:cat>
          <c:val>
            <c:numRef>
              <c:f>Metrics!$A$13</c:f>
              <c:numCache>
                <c:formatCode>General</c:formatCode>
                <c:ptCount val="1"/>
                <c:pt idx="0">
                  <c:v>454</c:v>
                </c:pt>
              </c:numCache>
            </c:numRef>
          </c:val>
        </c:ser>
        <c:ser>
          <c:idx val="7"/>
          <c:order val="5"/>
          <c:tx>
            <c:strRef>
              <c:f>Metrics!$B$14</c:f>
              <c:strCache>
                <c:ptCount val="1"/>
                <c:pt idx="0">
                  <c:v>Total # of Radios Re-optioned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</c:spPr>
          <c:cat>
            <c:strRef>
              <c:f>Metrics!$B$3</c:f>
              <c:strCache>
                <c:ptCount val="1"/>
                <c:pt idx="0">
                  <c:v>Description</c:v>
                </c:pt>
              </c:strCache>
            </c:strRef>
          </c:cat>
          <c:val>
            <c:numRef>
              <c:f>Metrics!$A$14</c:f>
              <c:numCache>
                <c:formatCode>General</c:formatCode>
                <c:ptCount val="1"/>
                <c:pt idx="0">
                  <c:v>456</c:v>
                </c:pt>
              </c:numCache>
            </c:numRef>
          </c:val>
        </c:ser>
        <c:ser>
          <c:idx val="11"/>
          <c:order val="6"/>
          <c:tx>
            <c:strRef>
              <c:f>Metrics!$B$17</c:f>
              <c:strCache>
                <c:ptCount val="1"/>
                <c:pt idx="0">
                  <c:v>Total # of 51SL Portable</c:v>
                </c:pt>
              </c:strCache>
            </c:strRef>
          </c:tx>
          <c:val>
            <c:numRef>
              <c:f>Metrics!$A$17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7"/>
          <c:tx>
            <c:strRef>
              <c:f>Metrics!$B$18</c:f>
              <c:strCache>
                <c:ptCount val="1"/>
                <c:pt idx="0">
                  <c:v>Total # of Ascend Portable</c:v>
                </c:pt>
              </c:strCache>
            </c:strRef>
          </c:tx>
          <c:val>
            <c:numRef>
              <c:f>Metrics!$A$18</c:f>
              <c:numCache>
                <c:formatCode>0</c:formatCode>
                <c:ptCount val="1"/>
                <c:pt idx="0">
                  <c:v>246</c:v>
                </c:pt>
              </c:numCache>
            </c:numRef>
          </c:val>
        </c:ser>
        <c:ser>
          <c:idx val="8"/>
          <c:order val="8"/>
          <c:tx>
            <c:strRef>
              <c:f>Metrics!$B$15</c:f>
              <c:strCache>
                <c:ptCount val="1"/>
                <c:pt idx="0">
                  <c:v>Total # of X Portables</c:v>
                </c:pt>
              </c:strCache>
            </c:strRef>
          </c:tx>
          <c:spPr>
            <a:solidFill>
              <a:srgbClr val="F1F61E"/>
            </a:solidFill>
            <a:ln>
              <a:solidFill>
                <a:sysClr val="windowText" lastClr="000000"/>
              </a:solidFill>
            </a:ln>
          </c:spPr>
          <c:cat>
            <c:strRef>
              <c:f>Metrics!$B$3</c:f>
              <c:strCache>
                <c:ptCount val="1"/>
                <c:pt idx="0">
                  <c:v>Description</c:v>
                </c:pt>
              </c:strCache>
            </c:strRef>
          </c:cat>
          <c:val>
            <c:numRef>
              <c:f>Metrics!$A$15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9"/>
          <c:tx>
            <c:strRef>
              <c:f>Metrics!$B$16</c:f>
              <c:strCache>
                <c:ptCount val="1"/>
                <c:pt idx="0">
                  <c:v>Total # of ES Portables</c:v>
                </c:pt>
              </c:strCache>
            </c:strRef>
          </c:tx>
          <c:spPr>
            <a:ln w="9525">
              <a:solidFill>
                <a:sysClr val="windowText" lastClr="000000"/>
              </a:solidFill>
            </a:ln>
          </c:spPr>
          <c:val>
            <c:numRef>
              <c:f>Metrics!$A$16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0"/>
          <c:tx>
            <c:strRef>
              <c:f>Metrics!$B$19</c:f>
              <c:strCache>
                <c:ptCount val="1"/>
                <c:pt idx="0">
                  <c:v>Total # of Viking Portables</c:v>
                </c:pt>
              </c:strCache>
            </c:strRef>
          </c:tx>
          <c:val>
            <c:numRef>
              <c:f>Metrics!$A$19</c:f>
              <c:numCache>
                <c:formatCode>0</c:formatCode>
                <c:ptCount val="1"/>
              </c:numCache>
            </c:numRef>
          </c:val>
        </c:ser>
        <c:ser>
          <c:idx val="12"/>
          <c:order val="11"/>
          <c:tx>
            <c:strRef>
              <c:f>Metrics!$B$22</c:f>
              <c:strCache>
                <c:ptCount val="1"/>
                <c:pt idx="0">
                  <c:v>Total # of 51SL Mobiles</c:v>
                </c:pt>
              </c:strCache>
            </c:strRef>
          </c:tx>
          <c:val>
            <c:numRef>
              <c:f>Metrics!$A$22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13"/>
          <c:order val="12"/>
          <c:tx>
            <c:strRef>
              <c:f>Metrics!$B$23</c:f>
              <c:strCache>
                <c:ptCount val="1"/>
                <c:pt idx="0">
                  <c:v>Total # of Ascend Mobiles</c:v>
                </c:pt>
              </c:strCache>
            </c:strRef>
          </c:tx>
          <c:val>
            <c:numRef>
              <c:f>Metrics!$A$23</c:f>
              <c:numCache>
                <c:formatCode>0</c:formatCode>
                <c:ptCount val="1"/>
                <c:pt idx="0">
                  <c:v>212</c:v>
                </c:pt>
              </c:numCache>
            </c:numRef>
          </c:val>
        </c:ser>
        <c:ser>
          <c:idx val="9"/>
          <c:order val="13"/>
          <c:tx>
            <c:strRef>
              <c:f>Metrics!$B$20</c:f>
              <c:strCache>
                <c:ptCount val="1"/>
                <c:pt idx="0">
                  <c:v>Total # of X Mobiles</c:v>
                </c:pt>
              </c:strCache>
            </c:strRef>
          </c:tx>
          <c:spPr>
            <a:solidFill>
              <a:srgbClr val="B2287A"/>
            </a:solidFill>
            <a:ln>
              <a:solidFill>
                <a:sysClr val="windowText" lastClr="000000"/>
              </a:solidFill>
            </a:ln>
          </c:spPr>
          <c:cat>
            <c:strRef>
              <c:f>Metrics!$B$3</c:f>
              <c:strCache>
                <c:ptCount val="1"/>
                <c:pt idx="0">
                  <c:v>Description</c:v>
                </c:pt>
              </c:strCache>
            </c:strRef>
          </c:cat>
          <c:val>
            <c:numRef>
              <c:f>Metrics!$A$20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15"/>
          <c:order val="14"/>
          <c:tx>
            <c:strRef>
              <c:f>Metrics!$B$21</c:f>
              <c:strCache>
                <c:ptCount val="1"/>
                <c:pt idx="0">
                  <c:v>Total # of ES Mobiles</c:v>
                </c:pt>
              </c:strCache>
            </c:strRef>
          </c:tx>
          <c:val>
            <c:numRef>
              <c:f>Metrics!$A$21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5"/>
          <c:tx>
            <c:strRef>
              <c:f>Metrics!$B$24</c:f>
              <c:strCache>
                <c:ptCount val="1"/>
                <c:pt idx="0">
                  <c:v>Total # of Viking Mobiles</c:v>
                </c:pt>
              </c:strCache>
            </c:strRef>
          </c:tx>
          <c:val>
            <c:numRef>
              <c:f>Metrics!$A$24</c:f>
              <c:numCache>
                <c:formatCode>0</c:formatCode>
                <c:ptCount val="1"/>
              </c:numCache>
            </c:numRef>
          </c:val>
        </c:ser>
        <c:shape val="box"/>
        <c:axId val="136267264"/>
        <c:axId val="136268800"/>
        <c:axId val="0"/>
      </c:bar3DChart>
      <c:catAx>
        <c:axId val="136267264"/>
        <c:scaling>
          <c:orientation val="minMax"/>
        </c:scaling>
        <c:delete val="1"/>
        <c:axPos val="b"/>
        <c:numFmt formatCode="General" sourceLinked="1"/>
        <c:tickLblPos val="none"/>
        <c:crossAx val="136268800"/>
        <c:crosses val="autoZero"/>
        <c:lblAlgn val="ctr"/>
        <c:lblOffset val="100"/>
      </c:catAx>
      <c:valAx>
        <c:axId val="136268800"/>
        <c:scaling>
          <c:orientation val="minMax"/>
          <c:min val="0"/>
        </c:scaling>
        <c:axPos val="l"/>
        <c:majorGridlines>
          <c:spPr>
            <a:ln w="9525" cap="flat" cmpd="sng" algn="ctr">
              <a:solidFill>
                <a:schemeClr val="dk1">
                  <a:shade val="95000"/>
                  <a:satMod val="105000"/>
                </a:schemeClr>
              </a:solidFill>
              <a:prstDash val="solid"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shade val="95000"/>
                  <a:satMod val="105000"/>
                </a:schemeClr>
              </a:solidFill>
              <a:prstDash val="solid"/>
            </a:ln>
            <a:effectLst/>
          </c:spPr>
        </c:minorGridlines>
        <c:numFmt formatCode="0" sourceLinked="1"/>
        <c:tickLblPos val="nextTo"/>
        <c:crossAx val="136267264"/>
        <c:crosses val="autoZero"/>
        <c:crossBetween val="between"/>
        <c:majorUnit val="4"/>
        <c:minorUnit val="2"/>
      </c:valAx>
      <c:spPr>
        <a:gradFill rotWithShape="1">
          <a:gsLst>
            <a:gs pos="0">
              <a:schemeClr val="dk1">
                <a:shade val="51000"/>
                <a:satMod val="130000"/>
              </a:schemeClr>
            </a:gs>
            <a:gs pos="80000">
              <a:schemeClr val="dk1">
                <a:shade val="93000"/>
                <a:satMod val="130000"/>
              </a:schemeClr>
            </a:gs>
            <a:gs pos="100000">
              <a:schemeClr val="dk1">
                <a:shade val="94000"/>
                <a:satMod val="135000"/>
              </a:schemeClr>
            </a:gs>
          </a:gsLst>
          <a:lin ang="16200000" scaled="0"/>
        </a:gradFill>
        <a:ln w="9525" cap="flat" cmpd="sng" algn="ctr">
          <a:solidFill>
            <a:schemeClr val="dk1">
              <a:shade val="95000"/>
              <a:satMod val="105000"/>
            </a:scheme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c:spPr>
    </c:plotArea>
    <c:legend>
      <c:legendPos val="r"/>
      <c:layout>
        <c:manualLayout>
          <c:xMode val="edge"/>
          <c:yMode val="edge"/>
          <c:x val="0.76176028785480165"/>
          <c:y val="6.2868917444559733E-2"/>
          <c:w val="0.22710633427835547"/>
          <c:h val="0.90556083091464956"/>
        </c:manualLayout>
      </c:layout>
      <c:spPr>
        <a:solidFill>
          <a:schemeClr val="tx1"/>
        </a:solidFill>
        <a:ln w="25400" cap="flat" cmpd="sng" algn="ctr">
          <a:solidFill>
            <a:schemeClr val="accent2"/>
          </a:solidFill>
          <a:prstDash val="solid"/>
        </a:ln>
        <a:effectLst/>
      </c:spPr>
    </c:legend>
    <c:plotVisOnly val="1"/>
    <c:dispBlanksAs val="gap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3000" dir="5400000" rotWithShape="0">
        <a:srgbClr val="000000">
          <a:alpha val="35000"/>
        </a:srgb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8"/>
  <c:chart>
    <c:title>
      <c:tx>
        <c:rich>
          <a:bodyPr/>
          <a:lstStyle/>
          <a:p>
            <a:pPr>
              <a:defRPr sz="1000"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1000">
                <a:latin typeface="Verdana" pitchFamily="34" charset="0"/>
                <a:ea typeface="Verdana" pitchFamily="34" charset="0"/>
                <a:cs typeface="Verdana" pitchFamily="34" charset="0"/>
              </a:rPr>
              <a:t>Project</a:t>
            </a:r>
            <a:r>
              <a:rPr lang="en-US" sz="1000" baseline="0">
                <a:latin typeface="Verdana" pitchFamily="34" charset="0"/>
                <a:ea typeface="Verdana" pitchFamily="34" charset="0"/>
                <a:cs typeface="Verdana" pitchFamily="34" charset="0"/>
              </a:rPr>
              <a:t> Completion Status</a:t>
            </a:r>
            <a:endParaRPr lang="en-US" sz="1000"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Metrics!$B$6</c:f>
              <c:strCache>
                <c:ptCount val="1"/>
                <c:pt idx="0">
                  <c:v>Percentage Complete</c:v>
                </c:pt>
              </c:strCache>
            </c:strRef>
          </c:tx>
          <c:cat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cat>
          <c:val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val>
        </c:ser>
        <c:axId val="136312704"/>
        <c:axId val="136314240"/>
      </c:barChart>
      <c:catAx>
        <c:axId val="136312704"/>
        <c:scaling>
          <c:orientation val="minMax"/>
        </c:scaling>
        <c:delete val="1"/>
        <c:axPos val="l"/>
        <c:numFmt formatCode="0.00%" sourceLinked="1"/>
        <c:tickLblPos val="none"/>
        <c:crossAx val="136314240"/>
        <c:crosses val="autoZero"/>
        <c:auto val="1"/>
        <c:lblAlgn val="ctr"/>
        <c:lblOffset val="100"/>
      </c:catAx>
      <c:valAx>
        <c:axId val="136314240"/>
        <c:scaling>
          <c:orientation val="minMax"/>
          <c:max val="1"/>
          <c:min val="0"/>
        </c:scaling>
        <c:axPos val="b"/>
        <c:majorGridlines/>
        <c:numFmt formatCode="0.00%" sourceLinked="1"/>
        <c:tickLblPos val="nextTo"/>
        <c:crossAx val="136312704"/>
        <c:crosses val="autoZero"/>
        <c:crossBetween val="between"/>
      </c:valAx>
    </c:plotArea>
    <c:plotVisOnly val="1"/>
    <c:dispBlanksAs val="gap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28575">
      <a:solidFill>
        <a:schemeClr val="bg1"/>
      </a:solidFill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5"/>
  <c:chart>
    <c:title>
      <c:layout>
        <c:manualLayout>
          <c:xMode val="edge"/>
          <c:yMode val="edge"/>
          <c:x val="0.11661877394636019"/>
          <c:y val="1.5581524763494907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strRef>
              <c:f>Metrics!$B$7</c:f>
              <c:strCache>
                <c:ptCount val="1"/>
                <c:pt idx="0">
                  <c:v>Avg. Time of Completion</c:v>
                </c:pt>
              </c:strCache>
            </c:strRef>
          </c:tx>
          <c:dPt>
            <c:idx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numRef>
              <c:f>Metrics!$A$7</c:f>
              <c:numCache>
                <c:formatCode>hh:mm:ss</c:formatCode>
                <c:ptCount val="1"/>
                <c:pt idx="0">
                  <c:v>0.30236433873991109</c:v>
                </c:pt>
              </c:numCache>
            </c:numRef>
          </c:cat>
          <c:val>
            <c:numRef>
              <c:f>Metrics!$A$65516</c:f>
              <c:numCache>
                <c:formatCode>0.00</c:formatCode>
                <c:ptCount val="1"/>
                <c:pt idx="0">
                  <c:v>7.2567441297578661</c:v>
                </c:pt>
              </c:numCache>
            </c:numRef>
          </c:val>
        </c:ser>
        <c:axId val="136718208"/>
        <c:axId val="136719744"/>
      </c:barChart>
      <c:catAx>
        <c:axId val="136718208"/>
        <c:scaling>
          <c:orientation val="minMax"/>
        </c:scaling>
        <c:delete val="1"/>
        <c:axPos val="b"/>
        <c:numFmt formatCode="hh:mm:ss" sourceLinked="1"/>
        <c:tickLblPos val="none"/>
        <c:crossAx val="136719744"/>
        <c:crosses val="autoZero"/>
        <c:auto val="1"/>
        <c:lblAlgn val="ctr"/>
        <c:lblOffset val="100"/>
      </c:catAx>
      <c:valAx>
        <c:axId val="136719744"/>
        <c:scaling>
          <c:orientation val="minMax"/>
          <c:max val="8"/>
          <c:min val="0"/>
        </c:scaling>
        <c:axPos val="l"/>
        <c:majorGridlines/>
        <c:numFmt formatCode="General" sourceLinked="0"/>
        <c:tickLblPos val="nextTo"/>
        <c:crossAx val="136718208"/>
        <c:crosses val="autoZero"/>
        <c:crossBetween val="between"/>
        <c:majorUnit val="1"/>
        <c:minorUnit val="0.5"/>
      </c:valAx>
      <c:spPr>
        <a:gradFill flip="none" rotWithShape="1">
          <a:gsLst>
            <a:gs pos="0">
              <a:srgbClr val="C0504D">
                <a:lumMod val="75000"/>
              </a:srgbClr>
            </a:gs>
            <a:gs pos="50000">
              <a:srgbClr val="9BBB59">
                <a:lumMod val="75000"/>
              </a:srgbClr>
            </a:gs>
          </a:gsLst>
          <a:lin ang="5400000" scaled="1"/>
          <a:tileRect/>
        </a:gradFill>
      </c:spPr>
    </c:plotArea>
    <c:plotVisOnly val="1"/>
    <c:dispBlanksAs val="gap"/>
  </c:chart>
  <c:spPr>
    <a:ln w="28575">
      <a:solidFill>
        <a:schemeClr val="bg1"/>
      </a:solidFill>
    </a:ln>
  </c:spPr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8"/>
  <c:chart>
    <c:title/>
    <c:view3D>
      <c:rotY val="12"/>
      <c:depthPercent val="100"/>
      <c:perspective val="30"/>
    </c:view3D>
    <c:floor>
      <c:spPr>
        <a:solidFill>
          <a:sysClr val="window" lastClr="FFFFFF"/>
        </a:solidFill>
      </c:spPr>
    </c:floor>
    <c:sideWall>
      <c:spPr>
        <a:solidFill>
          <a:sysClr val="window" lastClr="FFFFFF"/>
        </a:solidFill>
      </c:spPr>
    </c:sideWall>
    <c:backWall>
      <c:spPr>
        <a:solidFill>
          <a:sysClr val="window" lastClr="FFFFFF"/>
        </a:solidFill>
      </c:spPr>
    </c:backWall>
    <c:plotArea>
      <c:layout/>
      <c:bar3DChart>
        <c:barDir val="col"/>
        <c:grouping val="clustered"/>
        <c:ser>
          <c:idx val="0"/>
          <c:order val="0"/>
          <c:tx>
            <c:strRef>
              <c:f>'Inspection Failures'!$B$3:$D$3</c:f>
              <c:strCache>
                <c:ptCount val="1"/>
                <c:pt idx="0">
                  <c:v>Inspection Failures</c:v>
                </c:pt>
              </c:strCache>
            </c:strRef>
          </c:tx>
          <c:cat>
            <c:strRef>
              <c:f>'Inspection Failures'!$B$4:$D$28</c:f>
              <c:strCache>
                <c:ptCount val="25"/>
                <c:pt idx="0">
                  <c:v>Does Not Power Up</c:v>
                </c:pt>
                <c:pt idx="1">
                  <c:v>Cracked Case</c:v>
                </c:pt>
                <c:pt idx="2">
                  <c:v>Broken Display</c:v>
                </c:pt>
                <c:pt idx="3">
                  <c:v>Bad Antenna</c:v>
                </c:pt>
                <c:pt idx="4">
                  <c:v>Missing Volume Knob</c:v>
                </c:pt>
                <c:pt idx="5">
                  <c:v>Missing Channel Knob</c:v>
                </c:pt>
                <c:pt idx="6">
                  <c:v>Missing ABC Switch</c:v>
                </c:pt>
                <c:pt idx="7">
                  <c:v>SMA Stripped</c:v>
                </c:pt>
                <c:pt idx="8">
                  <c:v>Bad UDC</c:v>
                </c:pt>
                <c:pt idx="9">
                  <c:v>Chassis Broken</c:v>
                </c:pt>
                <c:pt idx="10">
                  <c:v>Volume Knob Bent</c:v>
                </c:pt>
                <c:pt idx="11">
                  <c:v>Channel Knob Bent</c:v>
                </c:pt>
                <c:pt idx="12">
                  <c:v>Bad PTT</c:v>
                </c:pt>
                <c:pt idx="13">
                  <c:v>Button Rubber Ripped or Missing</c:v>
                </c:pt>
                <c:pt idx="14">
                  <c:v>Broken SMA Connector</c:v>
                </c:pt>
                <c:pt idx="15">
                  <c:v>Broken Selector Ring</c:v>
                </c:pt>
                <c:pt idx="16">
                  <c:v>Broken Volume Knob</c:v>
                </c:pt>
                <c:pt idx="17">
                  <c:v>Broken Channel Knob</c:v>
                </c:pt>
                <c:pt idx="18">
                  <c:v>Broken ABC Switch</c:v>
                </c:pt>
                <c:pt idx="19">
                  <c:v>Missing Selector Ring</c:v>
                </c:pt>
                <c:pt idx="20">
                  <c:v>Liquid Damage</c:v>
                </c:pt>
                <c:pt idx="21">
                  <c:v>No Audio</c:v>
                </c:pt>
                <c:pt idx="22">
                  <c:v>DSP Fail</c:v>
                </c:pt>
                <c:pt idx="23">
                  <c:v>Out Of Range</c:v>
                </c:pt>
                <c:pt idx="24">
                  <c:v>Could Not Upgrade</c:v>
                </c:pt>
              </c:strCache>
            </c:strRef>
          </c:cat>
          <c:val>
            <c:numRef>
              <c:f>'Inspection Failures'!$A$4:$A$28</c:f>
              <c:numCache>
                <c:formatCode>0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</c:numCache>
            </c:numRef>
          </c:val>
        </c:ser>
        <c:shape val="box"/>
        <c:axId val="136807936"/>
        <c:axId val="136809472"/>
        <c:axId val="0"/>
      </c:bar3DChart>
      <c:catAx>
        <c:axId val="136807936"/>
        <c:scaling>
          <c:orientation val="minMax"/>
        </c:scaling>
        <c:axPos val="b"/>
        <c:numFmt formatCode="General" sourceLinked="1"/>
        <c:tickLblPos val="nextTo"/>
        <c:crossAx val="136809472"/>
        <c:crosses val="autoZero"/>
        <c:lblAlgn val="ctr"/>
        <c:lblOffset val="100"/>
      </c:catAx>
      <c:valAx>
        <c:axId val="136809472"/>
        <c:scaling>
          <c:orientation val="minMax"/>
          <c:min val="0"/>
        </c:scaling>
        <c:axPos val="l"/>
        <c:majorGridlines>
          <c:spPr>
            <a:ln w="9525" cap="flat" cmpd="sng" algn="ctr">
              <a:solidFill>
                <a:schemeClr val="dk1">
                  <a:shade val="95000"/>
                  <a:satMod val="105000"/>
                </a:schemeClr>
              </a:solidFill>
              <a:prstDash val="solid"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shade val="95000"/>
                  <a:satMod val="105000"/>
                </a:schemeClr>
              </a:solidFill>
              <a:prstDash val="solid"/>
            </a:ln>
            <a:effectLst/>
          </c:spPr>
        </c:minorGridlines>
        <c:numFmt formatCode="0" sourceLinked="1"/>
        <c:tickLblPos val="nextTo"/>
        <c:crossAx val="136807936"/>
        <c:crosses val="autoZero"/>
        <c:crossBetween val="between"/>
        <c:majorUnit val="4"/>
        <c:minorUnit val="2"/>
      </c:valAx>
      <c:spPr>
        <a:gradFill rotWithShape="1">
          <a:gsLst>
            <a:gs pos="0">
              <a:schemeClr val="dk1">
                <a:shade val="51000"/>
                <a:satMod val="130000"/>
              </a:schemeClr>
            </a:gs>
            <a:gs pos="80000">
              <a:schemeClr val="dk1">
                <a:shade val="93000"/>
                <a:satMod val="130000"/>
              </a:schemeClr>
            </a:gs>
            <a:gs pos="100000">
              <a:schemeClr val="dk1">
                <a:shade val="94000"/>
                <a:satMod val="135000"/>
              </a:schemeClr>
            </a:gs>
          </a:gsLst>
          <a:lin ang="16200000" scaled="0"/>
        </a:gradFill>
        <a:ln w="9525" cap="flat" cmpd="sng" algn="ctr">
          <a:solidFill>
            <a:schemeClr val="dk1">
              <a:shade val="95000"/>
              <a:satMod val="105000"/>
            </a:scheme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c:spPr>
    </c:plotArea>
    <c:plotVisOnly val="1"/>
    <c:dispBlanksAs val="gap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3000" dir="5400000" rotWithShape="0">
        <a:srgbClr val="000000">
          <a:alpha val="35000"/>
        </a:srgb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8"/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000"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1000">
                <a:latin typeface="Verdana" pitchFamily="34" charset="0"/>
                <a:ea typeface="Verdana" pitchFamily="34" charset="0"/>
                <a:cs typeface="Verdana" pitchFamily="34" charset="0"/>
              </a:rPr>
              <a:t>Project</a:t>
            </a:r>
            <a:r>
              <a:rPr lang="en-US" sz="1000" baseline="0">
                <a:latin typeface="Verdana" pitchFamily="34" charset="0"/>
                <a:ea typeface="Verdana" pitchFamily="34" charset="0"/>
                <a:cs typeface="Verdana" pitchFamily="34" charset="0"/>
              </a:rPr>
              <a:t> Completion Status</a:t>
            </a:r>
            <a:endParaRPr lang="en-US" sz="1000"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Metrics!$B$6</c:f>
              <c:strCache>
                <c:ptCount val="1"/>
                <c:pt idx="0">
                  <c:v>Percentage Complete</c:v>
                </c:pt>
              </c:strCache>
            </c:strRef>
          </c:tx>
          <c:cat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cat>
          <c:val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val>
        </c:ser>
        <c:axId val="136825088"/>
        <c:axId val="137043968"/>
      </c:barChart>
      <c:catAx>
        <c:axId val="136825088"/>
        <c:scaling>
          <c:orientation val="minMax"/>
        </c:scaling>
        <c:delete val="1"/>
        <c:axPos val="l"/>
        <c:numFmt formatCode="0.00%" sourceLinked="1"/>
        <c:tickLblPos val="none"/>
        <c:crossAx val="137043968"/>
        <c:crosses val="autoZero"/>
        <c:auto val="1"/>
        <c:lblAlgn val="ctr"/>
        <c:lblOffset val="100"/>
      </c:catAx>
      <c:valAx>
        <c:axId val="137043968"/>
        <c:scaling>
          <c:orientation val="minMax"/>
          <c:max val="1"/>
          <c:min val="0"/>
        </c:scaling>
        <c:axPos val="b"/>
        <c:majorGridlines/>
        <c:numFmt formatCode="0.00%" sourceLinked="1"/>
        <c:tickLblPos val="nextTo"/>
        <c:crossAx val="136825088"/>
        <c:crosses val="autoZero"/>
        <c:crossBetween val="between"/>
      </c:valAx>
    </c:plotArea>
    <c:plotVisOnly val="1"/>
    <c:dispBlanksAs val="gap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28575">
      <a:solidFill>
        <a:schemeClr val="bg1"/>
      </a:solidFill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5"/>
  <c:chart>
    <c:title>
      <c:layout>
        <c:manualLayout>
          <c:xMode val="edge"/>
          <c:yMode val="edge"/>
          <c:x val="0.11661877394636019"/>
          <c:y val="1.5581524763494911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strRef>
              <c:f>Metrics!$B$7</c:f>
              <c:strCache>
                <c:ptCount val="1"/>
                <c:pt idx="0">
                  <c:v>Avg. Time of Completion</c:v>
                </c:pt>
              </c:strCache>
            </c:strRef>
          </c:tx>
          <c:dPt>
            <c:idx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numRef>
              <c:f>Metrics!$A$7</c:f>
              <c:numCache>
                <c:formatCode>hh:mm:ss</c:formatCode>
                <c:ptCount val="1"/>
                <c:pt idx="0">
                  <c:v>0.30236433873991109</c:v>
                </c:pt>
              </c:numCache>
            </c:numRef>
          </c:cat>
          <c:val>
            <c:numRef>
              <c:f>Metrics!$A$65516</c:f>
              <c:numCache>
                <c:formatCode>0.00</c:formatCode>
                <c:ptCount val="1"/>
                <c:pt idx="0">
                  <c:v>7.2567441297578661</c:v>
                </c:pt>
              </c:numCache>
            </c:numRef>
          </c:val>
        </c:ser>
        <c:axId val="137066752"/>
        <c:axId val="137072640"/>
      </c:barChart>
      <c:catAx>
        <c:axId val="137066752"/>
        <c:scaling>
          <c:orientation val="minMax"/>
        </c:scaling>
        <c:delete val="1"/>
        <c:axPos val="b"/>
        <c:numFmt formatCode="hh:mm:ss" sourceLinked="1"/>
        <c:tickLblPos val="none"/>
        <c:crossAx val="137072640"/>
        <c:crosses val="autoZero"/>
        <c:auto val="1"/>
        <c:lblAlgn val="ctr"/>
        <c:lblOffset val="100"/>
      </c:catAx>
      <c:valAx>
        <c:axId val="137072640"/>
        <c:scaling>
          <c:orientation val="minMax"/>
          <c:max val="8"/>
          <c:min val="0"/>
        </c:scaling>
        <c:axPos val="l"/>
        <c:majorGridlines/>
        <c:numFmt formatCode="General" sourceLinked="0"/>
        <c:tickLblPos val="nextTo"/>
        <c:crossAx val="137066752"/>
        <c:crosses val="autoZero"/>
        <c:crossBetween val="between"/>
        <c:majorUnit val="1"/>
        <c:minorUnit val="0.5"/>
      </c:valAx>
      <c:spPr>
        <a:gradFill flip="none" rotWithShape="1">
          <a:gsLst>
            <a:gs pos="0">
              <a:srgbClr val="C0504D">
                <a:lumMod val="75000"/>
              </a:srgbClr>
            </a:gs>
            <a:gs pos="50000">
              <a:srgbClr val="9BBB59">
                <a:lumMod val="75000"/>
              </a:srgbClr>
            </a:gs>
          </a:gsLst>
          <a:lin ang="5400000" scaled="1"/>
          <a:tileRect/>
        </a:gradFill>
      </c:spPr>
    </c:plotArea>
    <c:plotVisOnly val="1"/>
    <c:dispBlanksAs val="gap"/>
  </c:chart>
  <c:spPr>
    <a:ln w="28575">
      <a:solidFill>
        <a:schemeClr val="bg1"/>
      </a:solidFill>
    </a:ln>
  </c:sp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8"/>
  <c:chart>
    <c:title/>
    <c:view3D>
      <c:rotY val="12"/>
      <c:depthPercent val="100"/>
      <c:perspective val="30"/>
    </c:view3D>
    <c:floor>
      <c:spPr>
        <a:solidFill>
          <a:sysClr val="window" lastClr="FFFFFF"/>
        </a:solidFill>
      </c:spPr>
    </c:floor>
    <c:sideWall>
      <c:spPr>
        <a:solidFill>
          <a:sysClr val="window" lastClr="FFFFFF"/>
        </a:solidFill>
      </c:spPr>
    </c:sideWall>
    <c:backWall>
      <c:spPr>
        <a:solidFill>
          <a:sysClr val="window" lastClr="FFFFFF"/>
        </a:solidFill>
      </c:spPr>
    </c:backWall>
    <c:plotArea>
      <c:layout/>
      <c:bar3DChart>
        <c:barDir val="col"/>
        <c:grouping val="clustered"/>
        <c:ser>
          <c:idx val="0"/>
          <c:order val="0"/>
          <c:tx>
            <c:strRef>
              <c:f>'Channel Test Mode Failures'!$B$3:$D$3</c:f>
              <c:strCache>
                <c:ptCount val="1"/>
                <c:pt idx="0">
                  <c:v>Channel Test Mode Failures</c:v>
                </c:pt>
              </c:strCache>
            </c:strRef>
          </c:tx>
          <c:cat>
            <c:multiLvlStrRef>
              <c:f>'Channel Test Mode Failures'!$B$4:$D$50</c:f>
              <c:multiLvlStrCache>
                <c:ptCount val="47"/>
                <c:lvl>
                  <c:pt idx="0">
                    <c:v>Side Button 1 Bad</c:v>
                  </c:pt>
                  <c:pt idx="1">
                    <c:v>Side Button 2 Bad</c:v>
                  </c:pt>
                  <c:pt idx="2">
                    <c:v>Side Button 3 Bad</c:v>
                  </c:pt>
                  <c:pt idx="3">
                    <c:v>PTT Bad</c:v>
                  </c:pt>
                  <c:pt idx="4">
                    <c:v>F1 Bad</c:v>
                  </c:pt>
                  <c:pt idx="5">
                    <c:v>F2 Bad</c:v>
                  </c:pt>
                  <c:pt idx="6">
                    <c:v>F3 Bad</c:v>
                  </c:pt>
                  <c:pt idx="7">
                    <c:v>F4 Bad</c:v>
                  </c:pt>
                  <c:pt idx="8">
                    <c:v>F4 Bad</c:v>
                  </c:pt>
                  <c:pt idx="12">
                    <c:v>Up Rocker Bad</c:v>
                  </c:pt>
                  <c:pt idx="13">
                    <c:v>Down Rocker Bad</c:v>
                  </c:pt>
                  <c:pt idx="14">
                    <c:v>Volume Switch Bad</c:v>
                  </c:pt>
                  <c:pt idx="15">
                    <c:v>Emergency Button Bad</c:v>
                  </c:pt>
                  <c:pt idx="16">
                    <c:v>Keypad 1 Bad</c:v>
                  </c:pt>
                  <c:pt idx="17">
                    <c:v>Keypad 2 Bad</c:v>
                  </c:pt>
                  <c:pt idx="18">
                    <c:v>Keypad 3 Bad</c:v>
                  </c:pt>
                  <c:pt idx="19">
                    <c:v>Keypad 4 Bad</c:v>
                  </c:pt>
                  <c:pt idx="20">
                    <c:v>Keypad 5 Bad</c:v>
                  </c:pt>
                  <c:pt idx="21">
                    <c:v>Keypad 6 Bad</c:v>
                  </c:pt>
                  <c:pt idx="22">
                    <c:v>Keypad 7 Bad</c:v>
                  </c:pt>
                  <c:pt idx="23">
                    <c:v>Keypad 8 Bad</c:v>
                  </c:pt>
                  <c:pt idx="24">
                    <c:v>Keypad 9 Bad</c:v>
                  </c:pt>
                  <c:pt idx="25">
                    <c:v>Keypad Asterisk Bad</c:v>
                  </c:pt>
                  <c:pt idx="26">
                    <c:v>Keypad 0 Bad</c:v>
                  </c:pt>
                  <c:pt idx="27">
                    <c:v>Keypad Number Sign Bad</c:v>
                  </c:pt>
                </c:lvl>
                <c:lvl>
                  <c:pt idx="0">
                    <c:v>Side Button 1 Bad</c:v>
                  </c:pt>
                  <c:pt idx="1">
                    <c:v>Side Button 2 Bad</c:v>
                  </c:pt>
                  <c:pt idx="2">
                    <c:v>Side Button 3 Bad</c:v>
                  </c:pt>
                  <c:pt idx="3">
                    <c:v>PTT Bad</c:v>
                  </c:pt>
                  <c:pt idx="4">
                    <c:v>F1 Bad</c:v>
                  </c:pt>
                  <c:pt idx="5">
                    <c:v>F2 Bad</c:v>
                  </c:pt>
                  <c:pt idx="6">
                    <c:v>F3 Bad</c:v>
                  </c:pt>
                  <c:pt idx="7">
                    <c:v>F4 Bad</c:v>
                  </c:pt>
                  <c:pt idx="8">
                    <c:v>F4 Bad</c:v>
                  </c:pt>
                  <c:pt idx="12">
                    <c:v>Up Rocker Bad</c:v>
                  </c:pt>
                  <c:pt idx="13">
                    <c:v>Down Rocker Bad</c:v>
                  </c:pt>
                  <c:pt idx="14">
                    <c:v>Volume Switch Bad</c:v>
                  </c:pt>
                  <c:pt idx="15">
                    <c:v>Emergency Button Bad</c:v>
                  </c:pt>
                  <c:pt idx="16">
                    <c:v>Keypad 1 Bad</c:v>
                  </c:pt>
                  <c:pt idx="17">
                    <c:v>Keypad 2 Bad</c:v>
                  </c:pt>
                  <c:pt idx="18">
                    <c:v>Keypad 3 Bad</c:v>
                  </c:pt>
                  <c:pt idx="19">
                    <c:v>Keypad 4 Bad</c:v>
                  </c:pt>
                  <c:pt idx="20">
                    <c:v>Keypad 5 Bad</c:v>
                  </c:pt>
                  <c:pt idx="21">
                    <c:v>Keypad 6 Bad</c:v>
                  </c:pt>
                  <c:pt idx="22">
                    <c:v>Keypad 7 Bad</c:v>
                  </c:pt>
                  <c:pt idx="23">
                    <c:v>Keypad 8 Bad</c:v>
                  </c:pt>
                  <c:pt idx="24">
                    <c:v>Keypad 9 Bad</c:v>
                  </c:pt>
                  <c:pt idx="25">
                    <c:v>Keypad Asterisk Bad</c:v>
                  </c:pt>
                  <c:pt idx="26">
                    <c:v>Keypad 0 Bad</c:v>
                  </c:pt>
                  <c:pt idx="27">
                    <c:v>Keypad Number Sign Bad</c:v>
                  </c:pt>
                </c:lvl>
                <c:lvl>
                  <c:pt idx="0">
                    <c:v>Side Button 1 Bad</c:v>
                  </c:pt>
                  <c:pt idx="1">
                    <c:v>Side Button 2 Bad</c:v>
                  </c:pt>
                  <c:pt idx="2">
                    <c:v>Side Button 3 Bad</c:v>
                  </c:pt>
                  <c:pt idx="3">
                    <c:v>PTT Bad</c:v>
                  </c:pt>
                  <c:pt idx="4">
                    <c:v>F1 Bad</c:v>
                  </c:pt>
                  <c:pt idx="5">
                    <c:v>F2 Bad</c:v>
                  </c:pt>
                  <c:pt idx="6">
                    <c:v>F3 Bad</c:v>
                  </c:pt>
                  <c:pt idx="7">
                    <c:v>F4 Bad</c:v>
                  </c:pt>
                  <c:pt idx="8">
                    <c:v>F5 Bad</c:v>
                  </c:pt>
                  <c:pt idx="9">
                    <c:v>F6 Bad</c:v>
                  </c:pt>
                  <c:pt idx="10">
                    <c:v>Volume Knob Bad</c:v>
                  </c:pt>
                  <c:pt idx="11">
                    <c:v>Channel Selector Bad</c:v>
                  </c:pt>
                  <c:pt idx="12">
                    <c:v>Up Rocker Bad</c:v>
                  </c:pt>
                  <c:pt idx="13">
                    <c:v>Down Rocker Bad</c:v>
                  </c:pt>
                  <c:pt idx="14">
                    <c:v>Volume Switch Bad</c:v>
                  </c:pt>
                  <c:pt idx="15">
                    <c:v>Emergency Button Bad</c:v>
                  </c:pt>
                  <c:pt idx="16">
                    <c:v>Keypad 1 Bad</c:v>
                  </c:pt>
                  <c:pt idx="17">
                    <c:v>Keypad 2 Bad</c:v>
                  </c:pt>
                  <c:pt idx="18">
                    <c:v>Keypad 3 Bad</c:v>
                  </c:pt>
                  <c:pt idx="19">
                    <c:v>Keypad 4 Bad</c:v>
                  </c:pt>
                  <c:pt idx="20">
                    <c:v>Keypad 5 Bad</c:v>
                  </c:pt>
                  <c:pt idx="21">
                    <c:v>Keypad 6 Bad</c:v>
                  </c:pt>
                  <c:pt idx="22">
                    <c:v>Keypad 7 Bad</c:v>
                  </c:pt>
                  <c:pt idx="23">
                    <c:v>Keypad 8 Bad</c:v>
                  </c:pt>
                  <c:pt idx="24">
                    <c:v>Keypad 9 Bad</c:v>
                  </c:pt>
                  <c:pt idx="25">
                    <c:v>Keypad Asterisk Bad</c:v>
                  </c:pt>
                  <c:pt idx="26">
                    <c:v>Keypad 0 Bad</c:v>
                  </c:pt>
                  <c:pt idx="27">
                    <c:v>Keypad Number Sign Bad</c:v>
                  </c:pt>
                  <c:pt idx="28">
                    <c:v>Channel Selector 1 Bad</c:v>
                  </c:pt>
                  <c:pt idx="29">
                    <c:v>Channel Selector 2 Bad</c:v>
                  </c:pt>
                  <c:pt idx="30">
                    <c:v>Channel Selector 3 Bad</c:v>
                  </c:pt>
                  <c:pt idx="31">
                    <c:v>Channel Selector 4 Bad</c:v>
                  </c:pt>
                  <c:pt idx="32">
                    <c:v>Channel Selector 5 Bad</c:v>
                  </c:pt>
                  <c:pt idx="33">
                    <c:v>Channel Selector 6 Bad</c:v>
                  </c:pt>
                  <c:pt idx="34">
                    <c:v>Channel Selector 7 Bad</c:v>
                  </c:pt>
                  <c:pt idx="35">
                    <c:v>Channel Selector 8 Bad</c:v>
                  </c:pt>
                  <c:pt idx="36">
                    <c:v>Channel Selector 9 Bad</c:v>
                  </c:pt>
                  <c:pt idx="37">
                    <c:v>Channel Selector 10 Bad</c:v>
                  </c:pt>
                  <c:pt idx="38">
                    <c:v>Channel Selector 11 Bad</c:v>
                  </c:pt>
                  <c:pt idx="39">
                    <c:v>Channel Selector 12 Bad</c:v>
                  </c:pt>
                  <c:pt idx="40">
                    <c:v>Channel Selector 13 Bad</c:v>
                  </c:pt>
                  <c:pt idx="41">
                    <c:v>Channel Selector 14 Bad</c:v>
                  </c:pt>
                  <c:pt idx="42">
                    <c:v>Channel Selector 15 Bad</c:v>
                  </c:pt>
                  <c:pt idx="43">
                    <c:v>Channel Selector 16 Bad</c:v>
                  </c:pt>
                  <c:pt idx="44">
                    <c:v>ABC Switch A Bad</c:v>
                  </c:pt>
                  <c:pt idx="45">
                    <c:v>ABC Switch B Bad</c:v>
                  </c:pt>
                  <c:pt idx="46">
                    <c:v>ABC Switch C Bad</c:v>
                  </c:pt>
                </c:lvl>
              </c:multiLvlStrCache>
            </c:multiLvlStrRef>
          </c:cat>
          <c:val>
            <c:numRef>
              <c:f>'Channel Test Mode Failures'!$A$4:$A$50</c:f>
              <c:numCache>
                <c:formatCode>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</c:ser>
        <c:shape val="box"/>
        <c:axId val="136990720"/>
        <c:axId val="136992256"/>
        <c:axId val="0"/>
      </c:bar3DChart>
      <c:catAx>
        <c:axId val="136990720"/>
        <c:scaling>
          <c:orientation val="minMax"/>
        </c:scaling>
        <c:axPos val="b"/>
        <c:numFmt formatCode="General" sourceLinked="1"/>
        <c:tickLblPos val="none"/>
        <c:txPr>
          <a:bodyPr rot="-2700000" vert="horz"/>
          <a:lstStyle/>
          <a:p>
            <a:pPr>
              <a:defRPr sz="800"/>
            </a:pPr>
            <a:endParaRPr lang="en-US"/>
          </a:p>
        </c:txPr>
        <c:crossAx val="136992256"/>
        <c:crosses val="autoZero"/>
        <c:auto val="1"/>
        <c:lblAlgn val="ctr"/>
        <c:lblOffset val="100"/>
      </c:catAx>
      <c:valAx>
        <c:axId val="136992256"/>
        <c:scaling>
          <c:orientation val="minMax"/>
          <c:min val="0"/>
        </c:scaling>
        <c:axPos val="l"/>
        <c:majorGridlines>
          <c:spPr>
            <a:ln w="9525" cap="flat" cmpd="sng" algn="ctr">
              <a:solidFill>
                <a:schemeClr val="dk1">
                  <a:shade val="95000"/>
                  <a:satMod val="105000"/>
                </a:schemeClr>
              </a:solidFill>
              <a:prstDash val="solid"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shade val="95000"/>
                  <a:satMod val="105000"/>
                </a:schemeClr>
              </a:solidFill>
              <a:prstDash val="solid"/>
            </a:ln>
            <a:effectLst/>
          </c:spPr>
        </c:minorGridlines>
        <c:numFmt formatCode="0" sourceLinked="1"/>
        <c:tickLblPos val="nextTo"/>
        <c:crossAx val="136990720"/>
        <c:crosses val="autoZero"/>
        <c:crossBetween val="between"/>
        <c:majorUnit val="4"/>
        <c:minorUnit val="2"/>
      </c:valAx>
      <c:spPr>
        <a:gradFill rotWithShape="1">
          <a:gsLst>
            <a:gs pos="0">
              <a:schemeClr val="dk1">
                <a:shade val="51000"/>
                <a:satMod val="130000"/>
              </a:schemeClr>
            </a:gs>
            <a:gs pos="80000">
              <a:schemeClr val="dk1">
                <a:shade val="93000"/>
                <a:satMod val="130000"/>
              </a:schemeClr>
            </a:gs>
            <a:gs pos="100000">
              <a:schemeClr val="dk1">
                <a:shade val="94000"/>
                <a:satMod val="135000"/>
              </a:schemeClr>
            </a:gs>
          </a:gsLst>
          <a:lin ang="16200000" scaled="0"/>
        </a:gradFill>
        <a:ln w="9525" cap="flat" cmpd="sng" algn="ctr">
          <a:solidFill>
            <a:schemeClr val="dk1">
              <a:shade val="95000"/>
              <a:satMod val="105000"/>
            </a:scheme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c:spPr>
    </c:plotArea>
    <c:plotVisOnly val="1"/>
    <c:dispBlanksAs val="gap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3000" dir="5400000" rotWithShape="0">
        <a:srgbClr val="000000">
          <a:alpha val="35000"/>
        </a:srgb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8"/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000"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1000">
                <a:latin typeface="Verdana" pitchFamily="34" charset="0"/>
                <a:ea typeface="Verdana" pitchFamily="34" charset="0"/>
                <a:cs typeface="Verdana" pitchFamily="34" charset="0"/>
              </a:rPr>
              <a:t>Project</a:t>
            </a:r>
            <a:r>
              <a:rPr lang="en-US" sz="1000" baseline="0">
                <a:latin typeface="Verdana" pitchFamily="34" charset="0"/>
                <a:ea typeface="Verdana" pitchFamily="34" charset="0"/>
                <a:cs typeface="Verdana" pitchFamily="34" charset="0"/>
              </a:rPr>
              <a:t> Completion Status</a:t>
            </a:r>
            <a:endParaRPr lang="en-US" sz="1000"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Metrics!$B$6</c:f>
              <c:strCache>
                <c:ptCount val="1"/>
                <c:pt idx="0">
                  <c:v>Percentage Complete</c:v>
                </c:pt>
              </c:strCache>
            </c:strRef>
          </c:tx>
          <c:cat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cat>
          <c:val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val>
        </c:ser>
        <c:axId val="137011968"/>
        <c:axId val="137013504"/>
      </c:barChart>
      <c:catAx>
        <c:axId val="137011968"/>
        <c:scaling>
          <c:orientation val="minMax"/>
        </c:scaling>
        <c:delete val="1"/>
        <c:axPos val="l"/>
        <c:numFmt formatCode="0.00%" sourceLinked="1"/>
        <c:tickLblPos val="none"/>
        <c:crossAx val="137013504"/>
        <c:crosses val="autoZero"/>
        <c:auto val="1"/>
        <c:lblAlgn val="ctr"/>
        <c:lblOffset val="100"/>
      </c:catAx>
      <c:valAx>
        <c:axId val="137013504"/>
        <c:scaling>
          <c:orientation val="minMax"/>
          <c:max val="1"/>
          <c:min val="0"/>
        </c:scaling>
        <c:axPos val="b"/>
        <c:majorGridlines/>
        <c:numFmt formatCode="0.00%" sourceLinked="1"/>
        <c:tickLblPos val="nextTo"/>
        <c:crossAx val="137011968"/>
        <c:crosses val="autoZero"/>
        <c:crossBetween val="between"/>
      </c:valAx>
    </c:plotArea>
    <c:plotVisOnly val="1"/>
    <c:dispBlanksAs val="gap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28575">
      <a:solidFill>
        <a:schemeClr val="bg1"/>
      </a:solidFill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5"/>
  <c:chart>
    <c:title>
      <c:layout>
        <c:manualLayout>
          <c:xMode val="edge"/>
          <c:yMode val="edge"/>
          <c:x val="0.11661877394636019"/>
          <c:y val="1.5581524763494918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strRef>
              <c:f>Metrics!$B$7</c:f>
              <c:strCache>
                <c:ptCount val="1"/>
                <c:pt idx="0">
                  <c:v>Avg. Time of Completion</c:v>
                </c:pt>
              </c:strCache>
            </c:strRef>
          </c:tx>
          <c:dPt>
            <c:idx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numRef>
              <c:f>Metrics!$A$7</c:f>
              <c:numCache>
                <c:formatCode>hh:mm:ss</c:formatCode>
                <c:ptCount val="1"/>
                <c:pt idx="0">
                  <c:v>0.30236433873991109</c:v>
                </c:pt>
              </c:numCache>
            </c:numRef>
          </c:cat>
          <c:val>
            <c:numRef>
              <c:f>Metrics!$A$65516</c:f>
              <c:numCache>
                <c:formatCode>0.00</c:formatCode>
                <c:ptCount val="1"/>
                <c:pt idx="0">
                  <c:v>7.2567441297578661</c:v>
                </c:pt>
              </c:numCache>
            </c:numRef>
          </c:val>
        </c:ser>
        <c:axId val="137032448"/>
        <c:axId val="137033984"/>
      </c:barChart>
      <c:catAx>
        <c:axId val="137032448"/>
        <c:scaling>
          <c:orientation val="minMax"/>
        </c:scaling>
        <c:delete val="1"/>
        <c:axPos val="b"/>
        <c:numFmt formatCode="hh:mm:ss" sourceLinked="1"/>
        <c:tickLblPos val="none"/>
        <c:crossAx val="137033984"/>
        <c:crosses val="autoZero"/>
        <c:auto val="1"/>
        <c:lblAlgn val="ctr"/>
        <c:lblOffset val="100"/>
      </c:catAx>
      <c:valAx>
        <c:axId val="137033984"/>
        <c:scaling>
          <c:orientation val="minMax"/>
          <c:max val="8"/>
          <c:min val="0"/>
        </c:scaling>
        <c:axPos val="l"/>
        <c:majorGridlines/>
        <c:numFmt formatCode="General" sourceLinked="0"/>
        <c:tickLblPos val="nextTo"/>
        <c:crossAx val="137032448"/>
        <c:crosses val="autoZero"/>
        <c:crossBetween val="between"/>
        <c:majorUnit val="1"/>
        <c:minorUnit val="0.5"/>
      </c:valAx>
      <c:spPr>
        <a:gradFill flip="none" rotWithShape="1">
          <a:gsLst>
            <a:gs pos="0">
              <a:srgbClr val="C0504D">
                <a:lumMod val="75000"/>
              </a:srgbClr>
            </a:gs>
            <a:gs pos="50000">
              <a:srgbClr val="9BBB59">
                <a:lumMod val="75000"/>
              </a:srgbClr>
            </a:gs>
          </a:gsLst>
          <a:lin ang="5400000" scaled="1"/>
          <a:tileRect/>
        </a:gradFill>
      </c:spPr>
    </c:plotArea>
    <c:plotVisOnly val="1"/>
    <c:dispBlanksAs val="gap"/>
  </c:chart>
  <c:spPr>
    <a:ln w="28575">
      <a:solidFill>
        <a:schemeClr val="bg1"/>
      </a:solidFill>
    </a:ln>
  </c:sp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8"/>
  <c:chart>
    <c:title/>
    <c:view3D>
      <c:rotX val="40"/>
      <c:rotY val="20"/>
      <c:depthPercent val="100"/>
      <c:perspective val="10"/>
    </c:view3D>
    <c:floor>
      <c:spPr>
        <a:solidFill>
          <a:sysClr val="window" lastClr="FFFFFF"/>
        </a:solidFill>
      </c:spPr>
    </c:floor>
    <c:sideWall>
      <c:spPr>
        <a:solidFill>
          <a:sysClr val="window" lastClr="FFFFFF"/>
        </a:solidFill>
      </c:spPr>
    </c:sideWall>
    <c:backWall>
      <c:spPr>
        <a:solidFill>
          <a:sysClr val="window" lastClr="FFFFFF"/>
        </a:solidFill>
      </c:spPr>
    </c:backWall>
    <c:plotArea>
      <c:layout>
        <c:manualLayout>
          <c:layoutTarget val="inner"/>
          <c:xMode val="edge"/>
          <c:yMode val="edge"/>
          <c:x val="1.9403214735093741E-2"/>
          <c:y val="0.12171557729229662"/>
          <c:w val="0.76274233556649751"/>
          <c:h val="0.8341938891215086"/>
        </c:manualLayout>
      </c:layout>
      <c:pie3DChart>
        <c:varyColors val="1"/>
        <c:ser>
          <c:idx val="0"/>
          <c:order val="0"/>
          <c:tx>
            <c:strRef>
              <c:f>'NGTS Total Metrics'!$B$3:$D$3</c:f>
              <c:strCache>
                <c:ptCount val="1"/>
                <c:pt idx="0">
                  <c:v>NGTS Total Failures - All Radio Types Combined</c:v>
                </c:pt>
              </c:strCache>
            </c:strRef>
          </c:tx>
          <c:cat>
            <c:strRef>
              <c:f>'NGTS Total Metrics'!$B$4:$D$20</c:f>
              <c:strCache>
                <c:ptCount val="17"/>
                <c:pt idx="0">
                  <c:v>RX Current Squelched</c:v>
                </c:pt>
                <c:pt idx="1">
                  <c:v>NB Set Rated Audio Level</c:v>
                </c:pt>
                <c:pt idx="2">
                  <c:v>NB Rx Audio Distortion </c:v>
                </c:pt>
                <c:pt idx="3">
                  <c:v>NB Rx Sensitivity Slow</c:v>
                </c:pt>
                <c:pt idx="4">
                  <c:v>NB Rx Hum and Noise</c:v>
                </c:pt>
                <c:pt idx="5">
                  <c:v>Tx Power at 7.5 Volts *Portable Only</c:v>
                </c:pt>
                <c:pt idx="6">
                  <c:v>Tx Power at 13.6 Volts *Mobile Only</c:v>
                </c:pt>
                <c:pt idx="7">
                  <c:v>Tx Current at High Power </c:v>
                </c:pt>
                <c:pt idx="8">
                  <c:v>Tx Frequency Error </c:v>
                </c:pt>
                <c:pt idx="9">
                  <c:v>NB Modulation Capability </c:v>
                </c:pt>
                <c:pt idx="10">
                  <c:v>Tx Modulation Fidelity - Lo Dev </c:v>
                </c:pt>
                <c:pt idx="11">
                  <c:v>Tx Modulation Fidelity - Hi Dev </c:v>
                </c:pt>
                <c:pt idx="12">
                  <c:v>BER </c:v>
                </c:pt>
                <c:pt idx="13">
                  <c:v>Tune Tx Frequency *Mobile Only</c:v>
                </c:pt>
                <c:pt idx="14">
                  <c:v>Tune Squelch *Mobile Only</c:v>
                </c:pt>
                <c:pt idx="15">
                  <c:v>Tune Tx Power *Mobile Only</c:v>
                </c:pt>
                <c:pt idx="16">
                  <c:v>Tune Modulation PASSED *Mobile Only</c:v>
                </c:pt>
              </c:strCache>
            </c:strRef>
          </c:cat>
          <c:val>
            <c:numRef>
              <c:f>'NGTS Total Metrics'!$A$4:$A$20</c:f>
              <c:numCache>
                <c:formatCode>General</c:formatCode>
                <c:ptCount val="17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51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7</c:v>
                </c:pt>
                <c:pt idx="11">
                  <c:v>5</c:v>
                </c:pt>
                <c:pt idx="12">
                  <c:v>62</c:v>
                </c:pt>
                <c:pt idx="13">
                  <c:v>3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</c:numCache>
            </c:numRef>
          </c:val>
        </c:ser>
      </c:pie3DChart>
      <c:spPr>
        <a:gradFill rotWithShape="1">
          <a:gsLst>
            <a:gs pos="0">
              <a:schemeClr val="dk1">
                <a:shade val="51000"/>
                <a:satMod val="130000"/>
              </a:schemeClr>
            </a:gs>
            <a:gs pos="80000">
              <a:schemeClr val="dk1">
                <a:shade val="93000"/>
                <a:satMod val="130000"/>
              </a:schemeClr>
            </a:gs>
            <a:gs pos="100000">
              <a:schemeClr val="dk1">
                <a:shade val="94000"/>
                <a:satMod val="135000"/>
              </a:schemeClr>
            </a:gs>
          </a:gsLst>
          <a:lin ang="16200000" scaled="0"/>
        </a:gradFill>
        <a:ln w="9525" cap="flat" cmpd="sng" algn="ctr">
          <a:solidFill>
            <a:schemeClr val="dk1">
              <a:shade val="95000"/>
              <a:satMod val="105000"/>
            </a:scheme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c:spPr>
    </c:plotArea>
    <c:legend>
      <c:legendPos val="r"/>
      <c:layout>
        <c:manualLayout>
          <c:xMode val="edge"/>
          <c:yMode val="edge"/>
          <c:x val="0.78086906322195948"/>
          <c:y val="0.13351204108586304"/>
          <c:w val="0.19845123496332945"/>
          <c:h val="0.80733407060852092"/>
        </c:manualLayout>
      </c:layout>
      <c:spPr>
        <a:solidFill>
          <a:schemeClr val="tx1"/>
        </a:solidFill>
        <a:ln w="25400" cap="flat" cmpd="sng" algn="ctr">
          <a:solidFill>
            <a:schemeClr val="accent2"/>
          </a:solidFill>
          <a:prstDash val="solid"/>
        </a:ln>
        <a:effectLst/>
      </c:spPr>
      <c:txPr>
        <a:bodyPr/>
        <a:lstStyle/>
        <a:p>
          <a:pPr rtl="0">
            <a:defRPr sz="800"/>
          </a:pPr>
          <a:endParaRPr lang="en-US"/>
        </a:p>
      </c:txPr>
    </c:legend>
    <c:plotVisOnly val="1"/>
    <c:dispBlanksAs val="zero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3000" dir="5400000" rotWithShape="0">
        <a:srgbClr val="000000">
          <a:alpha val="35000"/>
        </a:srgb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8"/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000"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1000">
                <a:latin typeface="Verdana" pitchFamily="34" charset="0"/>
                <a:ea typeface="Verdana" pitchFamily="34" charset="0"/>
                <a:cs typeface="Verdana" pitchFamily="34" charset="0"/>
              </a:rPr>
              <a:t>Project</a:t>
            </a:r>
            <a:r>
              <a:rPr lang="en-US" sz="1000" baseline="0">
                <a:latin typeface="Verdana" pitchFamily="34" charset="0"/>
                <a:ea typeface="Verdana" pitchFamily="34" charset="0"/>
                <a:cs typeface="Verdana" pitchFamily="34" charset="0"/>
              </a:rPr>
              <a:t> Completion Status</a:t>
            </a:r>
            <a:endParaRPr lang="en-US" sz="1000"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Metrics!$B$6</c:f>
              <c:strCache>
                <c:ptCount val="1"/>
                <c:pt idx="0">
                  <c:v>Percentage Complete</c:v>
                </c:pt>
              </c:strCache>
            </c:strRef>
          </c:tx>
          <c:cat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cat>
          <c:val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val>
        </c:ser>
        <c:axId val="137351168"/>
        <c:axId val="137352704"/>
      </c:barChart>
      <c:catAx>
        <c:axId val="137351168"/>
        <c:scaling>
          <c:orientation val="minMax"/>
        </c:scaling>
        <c:delete val="1"/>
        <c:axPos val="l"/>
        <c:numFmt formatCode="0.00%" sourceLinked="1"/>
        <c:tickLblPos val="none"/>
        <c:crossAx val="137352704"/>
        <c:crosses val="autoZero"/>
        <c:auto val="1"/>
        <c:lblAlgn val="ctr"/>
        <c:lblOffset val="100"/>
      </c:catAx>
      <c:valAx>
        <c:axId val="137352704"/>
        <c:scaling>
          <c:orientation val="minMax"/>
          <c:max val="1"/>
          <c:min val="0"/>
        </c:scaling>
        <c:axPos val="b"/>
        <c:majorGridlines/>
        <c:numFmt formatCode="0.00%" sourceLinked="1"/>
        <c:tickLblPos val="nextTo"/>
        <c:crossAx val="137351168"/>
        <c:crosses val="autoZero"/>
        <c:crossBetween val="between"/>
      </c:valAx>
    </c:plotArea>
    <c:plotVisOnly val="1"/>
    <c:dispBlanksAs val="gap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28575">
      <a:solidFill>
        <a:schemeClr val="bg1"/>
      </a:solidFill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5"/>
  <c:chart>
    <c:title>
      <c:layout>
        <c:manualLayout>
          <c:xMode val="edge"/>
          <c:yMode val="edge"/>
          <c:x val="0.11661877394636019"/>
          <c:y val="1.5581524763494925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strRef>
              <c:f>Metrics!$B$7</c:f>
              <c:strCache>
                <c:ptCount val="1"/>
                <c:pt idx="0">
                  <c:v>Avg. Time of Completion</c:v>
                </c:pt>
              </c:strCache>
            </c:strRef>
          </c:tx>
          <c:dPt>
            <c:idx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numRef>
              <c:f>Metrics!$A$7</c:f>
              <c:numCache>
                <c:formatCode>hh:mm:ss</c:formatCode>
                <c:ptCount val="1"/>
                <c:pt idx="0">
                  <c:v>0.30236433873991109</c:v>
                </c:pt>
              </c:numCache>
            </c:numRef>
          </c:cat>
          <c:val>
            <c:numRef>
              <c:f>Metrics!$A$65516</c:f>
              <c:numCache>
                <c:formatCode>0.00</c:formatCode>
                <c:ptCount val="1"/>
                <c:pt idx="0">
                  <c:v>7.2567441297578661</c:v>
                </c:pt>
              </c:numCache>
            </c:numRef>
          </c:val>
        </c:ser>
        <c:axId val="137392128"/>
        <c:axId val="137393664"/>
      </c:barChart>
      <c:catAx>
        <c:axId val="137392128"/>
        <c:scaling>
          <c:orientation val="minMax"/>
        </c:scaling>
        <c:delete val="1"/>
        <c:axPos val="b"/>
        <c:numFmt formatCode="hh:mm:ss" sourceLinked="1"/>
        <c:tickLblPos val="none"/>
        <c:crossAx val="137393664"/>
        <c:crosses val="autoZero"/>
        <c:auto val="1"/>
        <c:lblAlgn val="ctr"/>
        <c:lblOffset val="100"/>
      </c:catAx>
      <c:valAx>
        <c:axId val="137393664"/>
        <c:scaling>
          <c:orientation val="minMax"/>
          <c:max val="8"/>
          <c:min val="0"/>
        </c:scaling>
        <c:axPos val="l"/>
        <c:majorGridlines/>
        <c:numFmt formatCode="General" sourceLinked="0"/>
        <c:tickLblPos val="nextTo"/>
        <c:crossAx val="137392128"/>
        <c:crosses val="autoZero"/>
        <c:crossBetween val="between"/>
        <c:majorUnit val="1"/>
        <c:minorUnit val="0.5"/>
      </c:valAx>
      <c:spPr>
        <a:gradFill flip="none" rotWithShape="1">
          <a:gsLst>
            <a:gs pos="0">
              <a:srgbClr val="C0504D">
                <a:lumMod val="75000"/>
              </a:srgbClr>
            </a:gs>
            <a:gs pos="50000">
              <a:srgbClr val="9BBB59">
                <a:lumMod val="75000"/>
              </a:srgbClr>
            </a:gs>
          </a:gsLst>
          <a:lin ang="5400000" scaled="1"/>
          <a:tileRect/>
        </a:gradFill>
      </c:spPr>
    </c:plotArea>
    <c:plotVisOnly val="1"/>
    <c:dispBlanksAs val="gap"/>
  </c:chart>
  <c:spPr>
    <a:ln w="28575">
      <a:solidFill>
        <a:schemeClr val="bg1"/>
      </a:solidFill>
    </a:ln>
  </c:sp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2"/>
  <c:chart>
    <c:title/>
    <c:view3D>
      <c:rotX val="40"/>
      <c:rotY val="20"/>
      <c:depthPercent val="100"/>
      <c:perspective val="10"/>
    </c:view3D>
    <c:plotArea>
      <c:layout/>
      <c:pie3DChart>
        <c:varyColors val="1"/>
        <c:ser>
          <c:idx val="0"/>
          <c:order val="0"/>
          <c:tx>
            <c:strRef>
              <c:f>'5100X NGTS Metrics'!$B$3:$C$3</c:f>
              <c:strCache>
                <c:ptCount val="1"/>
                <c:pt idx="0">
                  <c:v>5100X Failures</c:v>
                </c:pt>
              </c:strCache>
            </c:strRef>
          </c:tx>
          <c:cat>
            <c:multiLvlStrRef>
              <c:f>'5100X NGTS Metrics'!$B$4:$D$24</c:f>
              <c:multiLvlStrCache>
                <c:ptCount val="21"/>
                <c:lvl>
                  <c:pt idx="0">
                    <c:v>854.5275</c:v>
                  </c:pt>
                  <c:pt idx="1">
                    <c:v>854.5275</c:v>
                  </c:pt>
                  <c:pt idx="2">
                    <c:v>854.5275</c:v>
                  </c:pt>
                  <c:pt idx="3">
                    <c:v>856.2175</c:v>
                  </c:pt>
                  <c:pt idx="4">
                    <c:v>854.5275</c:v>
                  </c:pt>
                  <c:pt idx="5">
                    <c:v>856.2175</c:v>
                  </c:pt>
                  <c:pt idx="6">
                    <c:v>854.5275</c:v>
                  </c:pt>
                  <c:pt idx="7">
                    <c:v>856.2175</c:v>
                  </c:pt>
                  <c:pt idx="8">
                    <c:v>809.4275</c:v>
                  </c:pt>
                  <c:pt idx="9">
                    <c:v>810.7175</c:v>
                  </c:pt>
                  <c:pt idx="10">
                    <c:v>809.4275</c:v>
                  </c:pt>
                  <c:pt idx="11">
                    <c:v>810.7175</c:v>
                  </c:pt>
                  <c:pt idx="12">
                    <c:v>809.4275</c:v>
                  </c:pt>
                  <c:pt idx="13">
                    <c:v>809.4275</c:v>
                  </c:pt>
                  <c:pt idx="14">
                    <c:v>810.7175</c:v>
                  </c:pt>
                  <c:pt idx="15">
                    <c:v>809.4275</c:v>
                  </c:pt>
                  <c:pt idx="16">
                    <c:v>810.7175</c:v>
                  </c:pt>
                  <c:pt idx="17">
                    <c:v>854.5275</c:v>
                  </c:pt>
                  <c:pt idx="18">
                    <c:v>856.2175</c:v>
                  </c:pt>
                  <c:pt idx="19">
                    <c:v>809.4275</c:v>
                  </c:pt>
                  <c:pt idx="20">
                    <c:v>810.7175</c:v>
                  </c:pt>
                </c:lvl>
                <c:lvl>
                  <c:pt idx="0">
                    <c:v>Rx Current Squelched</c:v>
                  </c:pt>
                  <c:pt idx="1">
                    <c:v>NB Set Rated Audio Level</c:v>
                  </c:pt>
                  <c:pt idx="2">
                    <c:v>NB Rx Audio Distortion</c:v>
                  </c:pt>
                  <c:pt idx="3">
                    <c:v>NB Rx Audio Distortion</c:v>
                  </c:pt>
                  <c:pt idx="4">
                    <c:v>NB Rx Sensitivity Slow</c:v>
                  </c:pt>
                  <c:pt idx="5">
                    <c:v>NB Rx Sensitivity Slow</c:v>
                  </c:pt>
                  <c:pt idx="6">
                    <c:v>NB Rx Hum and Noise</c:v>
                  </c:pt>
                  <c:pt idx="7">
                    <c:v>NB Rx Hum and Noise</c:v>
                  </c:pt>
                  <c:pt idx="8">
                    <c:v>Tx Power at 7.5 Volts</c:v>
                  </c:pt>
                  <c:pt idx="9">
                    <c:v>Tx Power at 7.5 Volts</c:v>
                  </c:pt>
                  <c:pt idx="10">
                    <c:v>Tx Current at High Power</c:v>
                  </c:pt>
                  <c:pt idx="11">
                    <c:v>Tx Current at High Power</c:v>
                  </c:pt>
                  <c:pt idx="12">
                    <c:v>Tx Frequency Error</c:v>
                  </c:pt>
                  <c:pt idx="13">
                    <c:v>NB Modulation Capability </c:v>
                  </c:pt>
                  <c:pt idx="14">
                    <c:v>NB Modulation Capability</c:v>
                  </c:pt>
                  <c:pt idx="15">
                    <c:v>Tx Modulation Fidelity Lo Dev</c:v>
                  </c:pt>
                  <c:pt idx="16">
                    <c:v>Tx Modulation Fidelity Hi Dev</c:v>
                  </c:pt>
                  <c:pt idx="17">
                    <c:v>BER</c:v>
                  </c:pt>
                  <c:pt idx="18">
                    <c:v>BER</c:v>
                  </c:pt>
                  <c:pt idx="19">
                    <c:v>Tx Modulation Fidelity</c:v>
                  </c:pt>
                  <c:pt idx="20">
                    <c:v>Tx Modulation Fidelity</c:v>
                  </c:pt>
                </c:lvl>
              </c:multiLvlStrCache>
            </c:multiLvlStrRef>
          </c:cat>
          <c:val>
            <c:numRef>
              <c:f>'5100X NGTS Metrics'!$A$4:$A$24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</c:pie3DChart>
    </c:plotArea>
    <c:legend>
      <c:legendPos val="r"/>
      <c:layout>
        <c:manualLayout>
          <c:xMode val="edge"/>
          <c:yMode val="edge"/>
          <c:x val="0.76007990457721664"/>
          <c:y val="4.2745195555357308E-2"/>
          <c:w val="0.2316044319648865"/>
          <c:h val="0.90191191993195052"/>
        </c:manualLayout>
      </c:layout>
    </c:legend>
    <c:plotVisOnly val="1"/>
    <c:dispBlanksAs val="zero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8"/>
  <c:chart>
    <c:title>
      <c:tx>
        <c:rich>
          <a:bodyPr/>
          <a:lstStyle/>
          <a:p>
            <a:pPr>
              <a:defRPr sz="1000"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1000">
                <a:latin typeface="Verdana" pitchFamily="34" charset="0"/>
                <a:ea typeface="Verdana" pitchFamily="34" charset="0"/>
                <a:cs typeface="Verdana" pitchFamily="34" charset="0"/>
              </a:rPr>
              <a:t>Project</a:t>
            </a:r>
            <a:r>
              <a:rPr lang="en-US" sz="1000" baseline="0">
                <a:latin typeface="Verdana" pitchFamily="34" charset="0"/>
                <a:ea typeface="Verdana" pitchFamily="34" charset="0"/>
                <a:cs typeface="Verdana" pitchFamily="34" charset="0"/>
              </a:rPr>
              <a:t> Completion Status</a:t>
            </a:r>
            <a:endParaRPr lang="en-US" sz="1000"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Metrics!$B$6</c:f>
              <c:strCache>
                <c:ptCount val="1"/>
                <c:pt idx="0">
                  <c:v>Percentage Complete</c:v>
                </c:pt>
              </c:strCache>
            </c:strRef>
          </c:tx>
          <c:cat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cat>
          <c:val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val>
        </c:ser>
        <c:axId val="137658752"/>
        <c:axId val="137660288"/>
      </c:barChart>
      <c:catAx>
        <c:axId val="137658752"/>
        <c:scaling>
          <c:orientation val="minMax"/>
        </c:scaling>
        <c:delete val="1"/>
        <c:axPos val="l"/>
        <c:numFmt formatCode="0.00%" sourceLinked="1"/>
        <c:tickLblPos val="none"/>
        <c:crossAx val="137660288"/>
        <c:crosses val="autoZero"/>
        <c:auto val="1"/>
        <c:lblAlgn val="ctr"/>
        <c:lblOffset val="100"/>
      </c:catAx>
      <c:valAx>
        <c:axId val="137660288"/>
        <c:scaling>
          <c:orientation val="minMax"/>
          <c:max val="1"/>
          <c:min val="0"/>
        </c:scaling>
        <c:axPos val="b"/>
        <c:majorGridlines/>
        <c:numFmt formatCode="0.00%" sourceLinked="1"/>
        <c:tickLblPos val="nextTo"/>
        <c:crossAx val="137658752"/>
        <c:crosses val="autoZero"/>
        <c:crossBetween val="between"/>
      </c:valAx>
    </c:plotArea>
    <c:plotVisOnly val="1"/>
    <c:dispBlanksAs val="gap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28575">
      <a:solidFill>
        <a:schemeClr val="bg1"/>
      </a:solidFill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5"/>
  <c:chart>
    <c:title>
      <c:layout>
        <c:manualLayout>
          <c:xMode val="edge"/>
          <c:yMode val="edge"/>
          <c:x val="0.11661877394636019"/>
          <c:y val="1.5581524763494928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strRef>
              <c:f>Metrics!$B$7</c:f>
              <c:strCache>
                <c:ptCount val="1"/>
                <c:pt idx="0">
                  <c:v>Avg. Time of Completion</c:v>
                </c:pt>
              </c:strCache>
            </c:strRef>
          </c:tx>
          <c:dPt>
            <c:idx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numRef>
              <c:f>Metrics!$A$7</c:f>
              <c:numCache>
                <c:formatCode>hh:mm:ss</c:formatCode>
                <c:ptCount val="1"/>
                <c:pt idx="0">
                  <c:v>0.30236433873991109</c:v>
                </c:pt>
              </c:numCache>
            </c:numRef>
          </c:cat>
          <c:val>
            <c:numRef>
              <c:f>Metrics!$A$65516</c:f>
              <c:numCache>
                <c:formatCode>0.00</c:formatCode>
                <c:ptCount val="1"/>
                <c:pt idx="0">
                  <c:v>7.2567441297578661</c:v>
                </c:pt>
              </c:numCache>
            </c:numRef>
          </c:val>
        </c:ser>
        <c:axId val="137687424"/>
        <c:axId val="137688960"/>
      </c:barChart>
      <c:catAx>
        <c:axId val="137687424"/>
        <c:scaling>
          <c:orientation val="minMax"/>
        </c:scaling>
        <c:delete val="1"/>
        <c:axPos val="b"/>
        <c:numFmt formatCode="hh:mm:ss" sourceLinked="1"/>
        <c:tickLblPos val="none"/>
        <c:crossAx val="137688960"/>
        <c:crosses val="autoZero"/>
        <c:auto val="1"/>
        <c:lblAlgn val="ctr"/>
        <c:lblOffset val="100"/>
      </c:catAx>
      <c:valAx>
        <c:axId val="137688960"/>
        <c:scaling>
          <c:orientation val="minMax"/>
          <c:max val="8"/>
          <c:min val="0"/>
        </c:scaling>
        <c:axPos val="l"/>
        <c:majorGridlines/>
        <c:numFmt formatCode="General" sourceLinked="0"/>
        <c:tickLblPos val="nextTo"/>
        <c:crossAx val="137687424"/>
        <c:crosses val="autoZero"/>
        <c:crossBetween val="between"/>
        <c:majorUnit val="1"/>
        <c:minorUnit val="0.5"/>
      </c:valAx>
      <c:spPr>
        <a:gradFill flip="none" rotWithShape="1">
          <a:gsLst>
            <a:gs pos="0">
              <a:srgbClr val="C0504D">
                <a:lumMod val="75000"/>
              </a:srgbClr>
            </a:gs>
            <a:gs pos="50000">
              <a:srgbClr val="9BBB59">
                <a:lumMod val="75000"/>
              </a:srgbClr>
            </a:gs>
          </a:gsLst>
          <a:lin ang="5400000" scaled="1"/>
          <a:tileRect/>
        </a:gradFill>
      </c:spPr>
    </c:plotArea>
    <c:plotVisOnly val="1"/>
    <c:dispBlanksAs val="gap"/>
  </c:chart>
  <c:spPr>
    <a:ln w="28575">
      <a:solidFill>
        <a:schemeClr val="bg1"/>
      </a:solidFill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2"/>
  <c:chart>
    <c:title/>
    <c:view3D>
      <c:rotX val="40"/>
      <c:rotY val="20"/>
      <c:depthPercent val="100"/>
      <c:perspective val="10"/>
    </c:view3D>
    <c:plotArea>
      <c:layout/>
      <c:pie3DChart>
        <c:varyColors val="1"/>
        <c:ser>
          <c:idx val="0"/>
          <c:order val="0"/>
          <c:tx>
            <c:strRef>
              <c:f>'5100ES NGTS Metrics'!$B$3:$C$3</c:f>
              <c:strCache>
                <c:ptCount val="1"/>
                <c:pt idx="0">
                  <c:v>5100ES Failures</c:v>
                </c:pt>
              </c:strCache>
            </c:strRef>
          </c:tx>
          <c:cat>
            <c:multiLvlStrRef>
              <c:f>'5100ES NGTS Metrics'!$B$4:$D$24</c:f>
              <c:multiLvlStrCache>
                <c:ptCount val="21"/>
                <c:lvl>
                  <c:pt idx="0">
                    <c:v>854.5275</c:v>
                  </c:pt>
                  <c:pt idx="1">
                    <c:v>854.5275</c:v>
                  </c:pt>
                  <c:pt idx="2">
                    <c:v>854.5275</c:v>
                  </c:pt>
                  <c:pt idx="3">
                    <c:v>856.2175</c:v>
                  </c:pt>
                  <c:pt idx="4">
                    <c:v>854.5275</c:v>
                  </c:pt>
                  <c:pt idx="5">
                    <c:v>856.2175</c:v>
                  </c:pt>
                  <c:pt idx="6">
                    <c:v>854.5275</c:v>
                  </c:pt>
                  <c:pt idx="7">
                    <c:v>856.2175</c:v>
                  </c:pt>
                  <c:pt idx="8">
                    <c:v>809.4275</c:v>
                  </c:pt>
                  <c:pt idx="9">
                    <c:v>810.7175</c:v>
                  </c:pt>
                  <c:pt idx="10">
                    <c:v>809.4275</c:v>
                  </c:pt>
                  <c:pt idx="11">
                    <c:v>810.7175</c:v>
                  </c:pt>
                  <c:pt idx="12">
                    <c:v>809.4275</c:v>
                  </c:pt>
                  <c:pt idx="13">
                    <c:v>809.4275</c:v>
                  </c:pt>
                  <c:pt idx="14">
                    <c:v>810.7175</c:v>
                  </c:pt>
                  <c:pt idx="15">
                    <c:v>809.4275</c:v>
                  </c:pt>
                  <c:pt idx="16">
                    <c:v>810.7175</c:v>
                  </c:pt>
                  <c:pt idx="17">
                    <c:v>854.5275</c:v>
                  </c:pt>
                  <c:pt idx="18">
                    <c:v>856.2175</c:v>
                  </c:pt>
                  <c:pt idx="19">
                    <c:v>809.4275</c:v>
                  </c:pt>
                  <c:pt idx="20">
                    <c:v>810.7175</c:v>
                  </c:pt>
                </c:lvl>
                <c:lvl>
                  <c:pt idx="0">
                    <c:v>Rx Current Squelched</c:v>
                  </c:pt>
                  <c:pt idx="1">
                    <c:v>NB Set Rated Audio Level</c:v>
                  </c:pt>
                  <c:pt idx="2">
                    <c:v>NB Rx Audio Distortion</c:v>
                  </c:pt>
                  <c:pt idx="3">
                    <c:v>NB Rx Audio Distortion</c:v>
                  </c:pt>
                  <c:pt idx="4">
                    <c:v>NB Rx Sensitivity Slow</c:v>
                  </c:pt>
                  <c:pt idx="5">
                    <c:v>NB Rx Sensitivity Slow</c:v>
                  </c:pt>
                  <c:pt idx="6">
                    <c:v>NB Rx Hum and Noise</c:v>
                  </c:pt>
                  <c:pt idx="7">
                    <c:v>NB Rx Hum and Noise</c:v>
                  </c:pt>
                  <c:pt idx="8">
                    <c:v>Tx Power at 7.5 Volts</c:v>
                  </c:pt>
                  <c:pt idx="9">
                    <c:v>Tx Power at 7.5 Volts</c:v>
                  </c:pt>
                  <c:pt idx="10">
                    <c:v>Tx Current at High Power</c:v>
                  </c:pt>
                  <c:pt idx="11">
                    <c:v>Tx Current at High Power</c:v>
                  </c:pt>
                  <c:pt idx="12">
                    <c:v>Tx Frequency Error</c:v>
                  </c:pt>
                  <c:pt idx="13">
                    <c:v>NB Modulation Capability</c:v>
                  </c:pt>
                  <c:pt idx="14">
                    <c:v>NB Modulation Capability</c:v>
                  </c:pt>
                  <c:pt idx="15">
                    <c:v>Tx Modulation Fidelity Lo Dev</c:v>
                  </c:pt>
                  <c:pt idx="16">
                    <c:v>Tx Modulation Fidelity Hi Dev</c:v>
                  </c:pt>
                  <c:pt idx="17">
                    <c:v>BER</c:v>
                  </c:pt>
                  <c:pt idx="18">
                    <c:v>BER</c:v>
                  </c:pt>
                  <c:pt idx="19">
                    <c:v>Tx Modulation Fidelity</c:v>
                  </c:pt>
                  <c:pt idx="20">
                    <c:v>Tx Modulation Fidelity</c:v>
                  </c:pt>
                </c:lvl>
              </c:multiLvlStrCache>
            </c:multiLvlStrRef>
          </c:cat>
          <c:val>
            <c:numRef>
              <c:f>'5100ES NGTS Metrics'!$A$4:$A$24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</c:pie3DChart>
    </c:plotArea>
    <c:legend>
      <c:legendPos val="r"/>
      <c:layout>
        <c:manualLayout>
          <c:xMode val="edge"/>
          <c:yMode val="edge"/>
          <c:x val="0.76285179239652734"/>
          <c:y val="4.2745195555357308E-2"/>
          <c:w val="0.22883254414558737"/>
          <c:h val="0.9019119199319503"/>
        </c:manualLayout>
      </c:layout>
    </c:legend>
    <c:plotVisOnly val="1"/>
    <c:dispBlanksAs val="zero"/>
  </c:chart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8"/>
  <c:chart>
    <c:title>
      <c:tx>
        <c:rich>
          <a:bodyPr/>
          <a:lstStyle/>
          <a:p>
            <a:pPr>
              <a:defRPr sz="1000"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1000">
                <a:latin typeface="Verdana" pitchFamily="34" charset="0"/>
                <a:ea typeface="Verdana" pitchFamily="34" charset="0"/>
                <a:cs typeface="Verdana" pitchFamily="34" charset="0"/>
              </a:rPr>
              <a:t>Project</a:t>
            </a:r>
            <a:r>
              <a:rPr lang="en-US" sz="1000" baseline="0">
                <a:latin typeface="Verdana" pitchFamily="34" charset="0"/>
                <a:ea typeface="Verdana" pitchFamily="34" charset="0"/>
                <a:cs typeface="Verdana" pitchFamily="34" charset="0"/>
              </a:rPr>
              <a:t> Completion Status</a:t>
            </a:r>
            <a:endParaRPr lang="en-US" sz="1000"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Metrics!$B$6</c:f>
              <c:strCache>
                <c:ptCount val="1"/>
                <c:pt idx="0">
                  <c:v>Percentage Complete</c:v>
                </c:pt>
              </c:strCache>
            </c:strRef>
          </c:tx>
          <c:cat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cat>
          <c:val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val>
        </c:ser>
        <c:axId val="137790208"/>
        <c:axId val="137791744"/>
      </c:barChart>
      <c:catAx>
        <c:axId val="137790208"/>
        <c:scaling>
          <c:orientation val="minMax"/>
        </c:scaling>
        <c:delete val="1"/>
        <c:axPos val="l"/>
        <c:numFmt formatCode="0.00%" sourceLinked="1"/>
        <c:tickLblPos val="none"/>
        <c:crossAx val="137791744"/>
        <c:crosses val="autoZero"/>
        <c:auto val="1"/>
        <c:lblAlgn val="ctr"/>
        <c:lblOffset val="100"/>
      </c:catAx>
      <c:valAx>
        <c:axId val="137791744"/>
        <c:scaling>
          <c:orientation val="minMax"/>
          <c:max val="1"/>
          <c:min val="0"/>
        </c:scaling>
        <c:axPos val="b"/>
        <c:majorGridlines/>
        <c:numFmt formatCode="0.00%" sourceLinked="1"/>
        <c:tickLblPos val="nextTo"/>
        <c:crossAx val="137790208"/>
        <c:crosses val="autoZero"/>
        <c:crossBetween val="between"/>
      </c:valAx>
    </c:plotArea>
    <c:plotVisOnly val="1"/>
    <c:dispBlanksAs val="gap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28575">
      <a:solidFill>
        <a:schemeClr val="bg1"/>
      </a:solidFill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5"/>
  <c:chart>
    <c:title>
      <c:layout>
        <c:manualLayout>
          <c:xMode val="edge"/>
          <c:yMode val="edge"/>
          <c:x val="0.11661877394636019"/>
          <c:y val="1.5581524763494928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strRef>
              <c:f>Metrics!$B$7</c:f>
              <c:strCache>
                <c:ptCount val="1"/>
                <c:pt idx="0">
                  <c:v>Avg. Time of Completion</c:v>
                </c:pt>
              </c:strCache>
            </c:strRef>
          </c:tx>
          <c:dPt>
            <c:idx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numRef>
              <c:f>Metrics!$A$7</c:f>
              <c:numCache>
                <c:formatCode>hh:mm:ss</c:formatCode>
                <c:ptCount val="1"/>
                <c:pt idx="0">
                  <c:v>0.30236433873991109</c:v>
                </c:pt>
              </c:numCache>
            </c:numRef>
          </c:cat>
          <c:val>
            <c:numRef>
              <c:f>Metrics!$A$65516</c:f>
              <c:numCache>
                <c:formatCode>0.00</c:formatCode>
                <c:ptCount val="1"/>
                <c:pt idx="0">
                  <c:v>7.2567441297578661</c:v>
                </c:pt>
              </c:numCache>
            </c:numRef>
          </c:val>
        </c:ser>
        <c:axId val="137696000"/>
        <c:axId val="137697536"/>
      </c:barChart>
      <c:catAx>
        <c:axId val="137696000"/>
        <c:scaling>
          <c:orientation val="minMax"/>
        </c:scaling>
        <c:delete val="1"/>
        <c:axPos val="b"/>
        <c:numFmt formatCode="hh:mm:ss" sourceLinked="1"/>
        <c:tickLblPos val="none"/>
        <c:crossAx val="137697536"/>
        <c:crosses val="autoZero"/>
        <c:auto val="1"/>
        <c:lblAlgn val="ctr"/>
        <c:lblOffset val="100"/>
      </c:catAx>
      <c:valAx>
        <c:axId val="137697536"/>
        <c:scaling>
          <c:orientation val="minMax"/>
          <c:max val="8"/>
          <c:min val="0"/>
        </c:scaling>
        <c:axPos val="l"/>
        <c:majorGridlines/>
        <c:numFmt formatCode="General" sourceLinked="0"/>
        <c:tickLblPos val="nextTo"/>
        <c:crossAx val="137696000"/>
        <c:crosses val="autoZero"/>
        <c:crossBetween val="between"/>
        <c:majorUnit val="1"/>
        <c:minorUnit val="0.5"/>
      </c:valAx>
      <c:spPr>
        <a:gradFill flip="none" rotWithShape="1">
          <a:gsLst>
            <a:gs pos="0">
              <a:srgbClr val="C0504D">
                <a:lumMod val="75000"/>
              </a:srgbClr>
            </a:gs>
            <a:gs pos="50000">
              <a:srgbClr val="9BBB59">
                <a:lumMod val="75000"/>
              </a:srgbClr>
            </a:gs>
          </a:gsLst>
          <a:lin ang="5400000" scaled="1"/>
          <a:tileRect/>
        </a:gradFill>
      </c:spPr>
    </c:plotArea>
    <c:plotVisOnly val="1"/>
    <c:dispBlanksAs val="gap"/>
  </c:chart>
  <c:spPr>
    <a:ln w="28575">
      <a:solidFill>
        <a:schemeClr val="bg1"/>
      </a:solidFill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2"/>
  <c:chart>
    <c:title/>
    <c:view3D>
      <c:rotX val="40"/>
      <c:rotY val="20"/>
      <c:depthPercent val="100"/>
      <c:perspective val="10"/>
    </c:view3D>
    <c:plotArea>
      <c:layout/>
      <c:pie3DChart>
        <c:varyColors val="1"/>
        <c:ser>
          <c:idx val="0"/>
          <c:order val="0"/>
          <c:tx>
            <c:strRef>
              <c:f>'51Ascend NGTS Metrics'!$B$3:$C$3</c:f>
              <c:strCache>
                <c:ptCount val="1"/>
                <c:pt idx="0">
                  <c:v>51Ascend Failures</c:v>
                </c:pt>
              </c:strCache>
            </c:strRef>
          </c:tx>
          <c:cat>
            <c:multiLvlStrRef>
              <c:f>'51Ascend NGTS Metrics'!$B$4:$D$24</c:f>
              <c:multiLvlStrCache>
                <c:ptCount val="21"/>
                <c:lvl>
                  <c:pt idx="0">
                    <c:v>854.5275</c:v>
                  </c:pt>
                  <c:pt idx="1">
                    <c:v>854.5275</c:v>
                  </c:pt>
                  <c:pt idx="2">
                    <c:v>854.5275</c:v>
                  </c:pt>
                  <c:pt idx="3">
                    <c:v>856.2175</c:v>
                  </c:pt>
                  <c:pt idx="4">
                    <c:v>854.5275</c:v>
                  </c:pt>
                  <c:pt idx="5">
                    <c:v>856.2175</c:v>
                  </c:pt>
                  <c:pt idx="6">
                    <c:v>854.5275</c:v>
                  </c:pt>
                  <c:pt idx="7">
                    <c:v>856.2175</c:v>
                  </c:pt>
                  <c:pt idx="8">
                    <c:v>809.4275</c:v>
                  </c:pt>
                  <c:pt idx="9">
                    <c:v>810.7175</c:v>
                  </c:pt>
                  <c:pt idx="10">
                    <c:v>809.4275</c:v>
                  </c:pt>
                  <c:pt idx="11">
                    <c:v>810.7175</c:v>
                  </c:pt>
                  <c:pt idx="12">
                    <c:v>809.4275</c:v>
                  </c:pt>
                  <c:pt idx="13">
                    <c:v>809.4275</c:v>
                  </c:pt>
                  <c:pt idx="14">
                    <c:v>810.7175</c:v>
                  </c:pt>
                  <c:pt idx="15">
                    <c:v>809.4275</c:v>
                  </c:pt>
                  <c:pt idx="16">
                    <c:v>810.7175</c:v>
                  </c:pt>
                  <c:pt idx="17">
                    <c:v>854.5275</c:v>
                  </c:pt>
                  <c:pt idx="18">
                    <c:v>856.2175</c:v>
                  </c:pt>
                  <c:pt idx="19">
                    <c:v>809.4275</c:v>
                  </c:pt>
                  <c:pt idx="20">
                    <c:v>810.7175</c:v>
                  </c:pt>
                </c:lvl>
                <c:lvl>
                  <c:pt idx="0">
                    <c:v>Rx Current Squelched</c:v>
                  </c:pt>
                  <c:pt idx="1">
                    <c:v>NB Set Rated Audio Level</c:v>
                  </c:pt>
                  <c:pt idx="2">
                    <c:v>NB Rx Audio Distortion</c:v>
                  </c:pt>
                  <c:pt idx="3">
                    <c:v>NB Rx Audio Distortion</c:v>
                  </c:pt>
                  <c:pt idx="4">
                    <c:v>NB Rx Sensitivity Slow</c:v>
                  </c:pt>
                  <c:pt idx="5">
                    <c:v>NB Rx Sensitivity Slow</c:v>
                  </c:pt>
                  <c:pt idx="6">
                    <c:v>NB Rx Hum and Noise</c:v>
                  </c:pt>
                  <c:pt idx="7">
                    <c:v>NB Rx Hum and Noise</c:v>
                  </c:pt>
                  <c:pt idx="8">
                    <c:v>Tx Power at 7.5 Volts</c:v>
                  </c:pt>
                  <c:pt idx="9">
                    <c:v>Tx Power at 7.5 Volts</c:v>
                  </c:pt>
                  <c:pt idx="10">
                    <c:v>Tx Current at High Power</c:v>
                  </c:pt>
                  <c:pt idx="11">
                    <c:v>Tx Current at High Power</c:v>
                  </c:pt>
                  <c:pt idx="12">
                    <c:v>Tx Frequency Error</c:v>
                  </c:pt>
                  <c:pt idx="13">
                    <c:v>NB Modulation Capability</c:v>
                  </c:pt>
                  <c:pt idx="14">
                    <c:v>NB Modulation Capability</c:v>
                  </c:pt>
                  <c:pt idx="15">
                    <c:v>Tx Modulation Fidelity Lo Dev</c:v>
                  </c:pt>
                  <c:pt idx="16">
                    <c:v>Tx Modulation Fidelity Hi Dev</c:v>
                  </c:pt>
                  <c:pt idx="17">
                    <c:v>BER</c:v>
                  </c:pt>
                  <c:pt idx="18">
                    <c:v>BER </c:v>
                  </c:pt>
                  <c:pt idx="19">
                    <c:v>Tx Modulation Fidelity</c:v>
                  </c:pt>
                  <c:pt idx="20">
                    <c:v>Tx Modulation Fidelity</c:v>
                  </c:pt>
                </c:lvl>
              </c:multiLvlStrCache>
            </c:multiLvlStrRef>
          </c:cat>
          <c:val>
            <c:numRef>
              <c:f>'51Ascend NGTS Metrics'!$A$4:$A$24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26</c:v>
                </c:pt>
                <c:pt idx="5">
                  <c:v>23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2</c:v>
                </c:pt>
                <c:pt idx="17">
                  <c:v>28</c:v>
                </c:pt>
                <c:pt idx="18">
                  <c:v>26</c:v>
                </c:pt>
                <c:pt idx="19">
                  <c:v>2</c:v>
                </c:pt>
                <c:pt idx="20">
                  <c:v>6</c:v>
                </c:pt>
              </c:numCache>
            </c:numRef>
          </c:val>
        </c:ser>
      </c:pie3DChart>
    </c:plotArea>
    <c:legend>
      <c:legendPos val="r"/>
      <c:layout>
        <c:manualLayout>
          <c:xMode val="edge"/>
          <c:yMode val="edge"/>
          <c:x val="0.75315018502896836"/>
          <c:y val="4.2745195555357308E-2"/>
          <c:w val="0.23853415151313592"/>
          <c:h val="0.90191191993195008"/>
        </c:manualLayout>
      </c:layout>
    </c:legend>
    <c:plotVisOnly val="1"/>
    <c:dispBlanksAs val="zero"/>
  </c:chart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8"/>
  <c:chart>
    <c:title>
      <c:tx>
        <c:rich>
          <a:bodyPr/>
          <a:lstStyle/>
          <a:p>
            <a:pPr>
              <a:defRPr sz="1000"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1000">
                <a:latin typeface="Verdana" pitchFamily="34" charset="0"/>
                <a:ea typeface="Verdana" pitchFamily="34" charset="0"/>
                <a:cs typeface="Verdana" pitchFamily="34" charset="0"/>
              </a:rPr>
              <a:t>Project</a:t>
            </a:r>
            <a:r>
              <a:rPr lang="en-US" sz="1000" baseline="0">
                <a:latin typeface="Verdana" pitchFamily="34" charset="0"/>
                <a:ea typeface="Verdana" pitchFamily="34" charset="0"/>
                <a:cs typeface="Verdana" pitchFamily="34" charset="0"/>
              </a:rPr>
              <a:t> Completion Status</a:t>
            </a:r>
            <a:endParaRPr lang="en-US" sz="1000"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Metrics!$B$6</c:f>
              <c:strCache>
                <c:ptCount val="1"/>
                <c:pt idx="0">
                  <c:v>Percentage Complete</c:v>
                </c:pt>
              </c:strCache>
            </c:strRef>
          </c:tx>
          <c:cat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cat>
          <c:val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val>
        </c:ser>
        <c:axId val="141542528"/>
        <c:axId val="141544064"/>
      </c:barChart>
      <c:catAx>
        <c:axId val="141542528"/>
        <c:scaling>
          <c:orientation val="minMax"/>
        </c:scaling>
        <c:delete val="1"/>
        <c:axPos val="l"/>
        <c:numFmt formatCode="0.00%" sourceLinked="1"/>
        <c:tickLblPos val="none"/>
        <c:crossAx val="141544064"/>
        <c:crosses val="autoZero"/>
        <c:auto val="1"/>
        <c:lblAlgn val="ctr"/>
        <c:lblOffset val="100"/>
      </c:catAx>
      <c:valAx>
        <c:axId val="141544064"/>
        <c:scaling>
          <c:orientation val="minMax"/>
          <c:max val="1"/>
          <c:min val="0"/>
        </c:scaling>
        <c:axPos val="b"/>
        <c:majorGridlines/>
        <c:numFmt formatCode="0.00%" sourceLinked="1"/>
        <c:tickLblPos val="nextTo"/>
        <c:crossAx val="141542528"/>
        <c:crosses val="autoZero"/>
        <c:crossBetween val="between"/>
      </c:valAx>
    </c:plotArea>
    <c:plotVisOnly val="1"/>
    <c:dispBlanksAs val="gap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28575">
      <a:solidFill>
        <a:schemeClr val="bg1"/>
      </a:solidFill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5"/>
  <c:chart>
    <c:title>
      <c:layout>
        <c:manualLayout>
          <c:xMode val="edge"/>
          <c:yMode val="edge"/>
          <c:x val="0.11661877394636019"/>
          <c:y val="1.5581524763494935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strRef>
              <c:f>Metrics!$B$7</c:f>
              <c:strCache>
                <c:ptCount val="1"/>
                <c:pt idx="0">
                  <c:v>Avg. Time of Completion</c:v>
                </c:pt>
              </c:strCache>
            </c:strRef>
          </c:tx>
          <c:dPt>
            <c:idx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numRef>
              <c:f>Metrics!$A$7</c:f>
              <c:numCache>
                <c:formatCode>hh:mm:ss</c:formatCode>
                <c:ptCount val="1"/>
                <c:pt idx="0">
                  <c:v>0.30236433873991109</c:v>
                </c:pt>
              </c:numCache>
            </c:numRef>
          </c:cat>
          <c:val>
            <c:numRef>
              <c:f>Metrics!$A$65516</c:f>
              <c:numCache>
                <c:formatCode>0.00</c:formatCode>
                <c:ptCount val="1"/>
                <c:pt idx="0">
                  <c:v>7.2567441297578661</c:v>
                </c:pt>
              </c:numCache>
            </c:numRef>
          </c:val>
        </c:ser>
        <c:axId val="136222592"/>
        <c:axId val="136224128"/>
      </c:barChart>
      <c:catAx>
        <c:axId val="136222592"/>
        <c:scaling>
          <c:orientation val="minMax"/>
        </c:scaling>
        <c:delete val="1"/>
        <c:axPos val="b"/>
        <c:numFmt formatCode="hh:mm:ss" sourceLinked="1"/>
        <c:tickLblPos val="none"/>
        <c:crossAx val="136224128"/>
        <c:crosses val="autoZero"/>
        <c:auto val="1"/>
        <c:lblAlgn val="ctr"/>
        <c:lblOffset val="100"/>
      </c:catAx>
      <c:valAx>
        <c:axId val="136224128"/>
        <c:scaling>
          <c:orientation val="minMax"/>
          <c:max val="8"/>
          <c:min val="0"/>
        </c:scaling>
        <c:axPos val="l"/>
        <c:majorGridlines/>
        <c:numFmt formatCode="General" sourceLinked="0"/>
        <c:tickLblPos val="nextTo"/>
        <c:crossAx val="136222592"/>
        <c:crosses val="autoZero"/>
        <c:crossBetween val="between"/>
        <c:majorUnit val="1"/>
        <c:minorUnit val="0.5"/>
      </c:valAx>
      <c:spPr>
        <a:gradFill flip="none" rotWithShape="1">
          <a:gsLst>
            <a:gs pos="0">
              <a:srgbClr val="C0504D">
                <a:lumMod val="75000"/>
              </a:srgbClr>
            </a:gs>
            <a:gs pos="50000">
              <a:srgbClr val="9BBB59">
                <a:lumMod val="75000"/>
              </a:srgbClr>
            </a:gs>
          </a:gsLst>
          <a:lin ang="5400000" scaled="1"/>
          <a:tileRect/>
        </a:gradFill>
      </c:spPr>
    </c:plotArea>
    <c:plotVisOnly val="1"/>
    <c:dispBlanksAs val="gap"/>
  </c:chart>
  <c:spPr>
    <a:ln w="28575">
      <a:solidFill>
        <a:schemeClr val="bg1"/>
      </a:solidFill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2"/>
  <c:chart>
    <c:title>
      <c:tx>
        <c:rich>
          <a:bodyPr/>
          <a:lstStyle/>
          <a:p>
            <a:pPr>
              <a:defRPr/>
            </a:pPr>
            <a:r>
              <a:rPr lang="en-US"/>
              <a:t>Viking Portable Failures</a:t>
            </a:r>
          </a:p>
        </c:rich>
      </c:tx>
    </c:title>
    <c:view3D>
      <c:rotX val="40"/>
      <c:rotY val="20"/>
      <c:depthPercent val="100"/>
      <c:perspective val="10"/>
    </c:view3D>
    <c:plotArea>
      <c:layout/>
      <c:pie3DChart>
        <c:varyColors val="1"/>
        <c:ser>
          <c:idx val="0"/>
          <c:order val="0"/>
          <c:tx>
            <c:strRef>
              <c:f>'Viking Portable NGTS Metrics'!$B$3:$C$3</c:f>
              <c:strCache>
                <c:ptCount val="1"/>
                <c:pt idx="0">
                  <c:v>51Ascend Failures</c:v>
                </c:pt>
              </c:strCache>
            </c:strRef>
          </c:tx>
          <c:cat>
            <c:multiLvlStrRef>
              <c:f>'Viking Portable NGTS Metrics'!$B$4:$D$24</c:f>
              <c:multiLvlStrCache>
                <c:ptCount val="21"/>
                <c:lvl>
                  <c:pt idx="0">
                    <c:v>854.5275</c:v>
                  </c:pt>
                  <c:pt idx="1">
                    <c:v>854.5275</c:v>
                  </c:pt>
                  <c:pt idx="2">
                    <c:v>854.5275</c:v>
                  </c:pt>
                  <c:pt idx="3">
                    <c:v>856.2175</c:v>
                  </c:pt>
                  <c:pt idx="4">
                    <c:v>854.5275</c:v>
                  </c:pt>
                  <c:pt idx="5">
                    <c:v>856.2175</c:v>
                  </c:pt>
                  <c:pt idx="6">
                    <c:v>854.5275</c:v>
                  </c:pt>
                  <c:pt idx="7">
                    <c:v>856.2175</c:v>
                  </c:pt>
                  <c:pt idx="8">
                    <c:v>809.4275</c:v>
                  </c:pt>
                  <c:pt idx="9">
                    <c:v>810.7175</c:v>
                  </c:pt>
                  <c:pt idx="10">
                    <c:v>809.4275</c:v>
                  </c:pt>
                  <c:pt idx="11">
                    <c:v>810.7175</c:v>
                  </c:pt>
                  <c:pt idx="12">
                    <c:v>809.4275</c:v>
                  </c:pt>
                  <c:pt idx="13">
                    <c:v>809.4275</c:v>
                  </c:pt>
                  <c:pt idx="14">
                    <c:v>810.7175</c:v>
                  </c:pt>
                  <c:pt idx="15">
                    <c:v>809.4275</c:v>
                  </c:pt>
                  <c:pt idx="16">
                    <c:v>810.7175</c:v>
                  </c:pt>
                  <c:pt idx="17">
                    <c:v>854.5275</c:v>
                  </c:pt>
                  <c:pt idx="18">
                    <c:v>856.2175</c:v>
                  </c:pt>
                  <c:pt idx="19">
                    <c:v>809.4275</c:v>
                  </c:pt>
                  <c:pt idx="20">
                    <c:v>810.7175</c:v>
                  </c:pt>
                </c:lvl>
                <c:lvl>
                  <c:pt idx="0">
                    <c:v>Rx Current Squelched</c:v>
                  </c:pt>
                  <c:pt idx="1">
                    <c:v>NB Set Rated Audio Level</c:v>
                  </c:pt>
                  <c:pt idx="2">
                    <c:v>NB Rx Audio Distortion</c:v>
                  </c:pt>
                  <c:pt idx="3">
                    <c:v>NB Rx Audio Distortion</c:v>
                  </c:pt>
                  <c:pt idx="4">
                    <c:v>NB Rx Sensitivity Slow</c:v>
                  </c:pt>
                  <c:pt idx="5">
                    <c:v>NB Rx Sensitivity Slow</c:v>
                  </c:pt>
                  <c:pt idx="6">
                    <c:v>NB Rx Hum and Noise</c:v>
                  </c:pt>
                  <c:pt idx="7">
                    <c:v>NB Rx Hum and Noise</c:v>
                  </c:pt>
                  <c:pt idx="8">
                    <c:v>Tx Power at 7.5 Volts</c:v>
                  </c:pt>
                  <c:pt idx="9">
                    <c:v>Tx Power at 7.5 Volts</c:v>
                  </c:pt>
                  <c:pt idx="10">
                    <c:v>Tx Current at High Power</c:v>
                  </c:pt>
                  <c:pt idx="11">
                    <c:v>Tx Current at High Power</c:v>
                  </c:pt>
                  <c:pt idx="12">
                    <c:v>Tx Frequency Error</c:v>
                  </c:pt>
                  <c:pt idx="13">
                    <c:v>NB Modulation Capability</c:v>
                  </c:pt>
                  <c:pt idx="14">
                    <c:v>NB Modulation Capability</c:v>
                  </c:pt>
                  <c:pt idx="15">
                    <c:v>Tx Modulation Fidelity Lo Dev</c:v>
                  </c:pt>
                  <c:pt idx="16">
                    <c:v>Tx Modulation Fidelity Hi Dev</c:v>
                  </c:pt>
                  <c:pt idx="17">
                    <c:v>BER</c:v>
                  </c:pt>
                  <c:pt idx="18">
                    <c:v>BER </c:v>
                  </c:pt>
                  <c:pt idx="19">
                    <c:v>Tx Modulation Fidelity</c:v>
                  </c:pt>
                  <c:pt idx="20">
                    <c:v>Tx Modulation Fidelity</c:v>
                  </c:pt>
                </c:lvl>
              </c:multiLvlStrCache>
            </c:multiLvlStrRef>
          </c:cat>
          <c:val>
            <c:numRef>
              <c:f>'Viking Portable NGTS Metrics'!$A$4:$A$24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26</c:v>
                </c:pt>
                <c:pt idx="5">
                  <c:v>23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2</c:v>
                </c:pt>
                <c:pt idx="17">
                  <c:v>28</c:v>
                </c:pt>
                <c:pt idx="18">
                  <c:v>26</c:v>
                </c:pt>
                <c:pt idx="19">
                  <c:v>2</c:v>
                </c:pt>
                <c:pt idx="20">
                  <c:v>6</c:v>
                </c:pt>
              </c:numCache>
            </c:numRef>
          </c:val>
        </c:ser>
      </c:pie3DChart>
    </c:plotArea>
    <c:legend>
      <c:legendPos val="r"/>
      <c:layout>
        <c:manualLayout>
          <c:xMode val="edge"/>
          <c:yMode val="edge"/>
          <c:x val="0.75315018502896836"/>
          <c:y val="4.2745195555357308E-2"/>
          <c:w val="0.23853415151313598"/>
          <c:h val="0.90191191993194986"/>
        </c:manualLayout>
      </c:layout>
    </c:legend>
    <c:plotVisOnly val="1"/>
    <c:dispBlanksAs val="zero"/>
  </c:chart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8"/>
  <c:chart>
    <c:title>
      <c:tx>
        <c:rich>
          <a:bodyPr/>
          <a:lstStyle/>
          <a:p>
            <a:pPr>
              <a:defRPr sz="1000"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1000">
                <a:latin typeface="Verdana" pitchFamily="34" charset="0"/>
                <a:ea typeface="Verdana" pitchFamily="34" charset="0"/>
                <a:cs typeface="Verdana" pitchFamily="34" charset="0"/>
              </a:rPr>
              <a:t>Project</a:t>
            </a:r>
            <a:r>
              <a:rPr lang="en-US" sz="1000" baseline="0">
                <a:latin typeface="Verdana" pitchFamily="34" charset="0"/>
                <a:ea typeface="Verdana" pitchFamily="34" charset="0"/>
                <a:cs typeface="Verdana" pitchFamily="34" charset="0"/>
              </a:rPr>
              <a:t> Completion Status</a:t>
            </a:r>
            <a:endParaRPr lang="en-US" sz="1000"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Metrics!$B$6</c:f>
              <c:strCache>
                <c:ptCount val="1"/>
                <c:pt idx="0">
                  <c:v>Percentage Complete</c:v>
                </c:pt>
              </c:strCache>
            </c:strRef>
          </c:tx>
          <c:cat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cat>
          <c:val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val>
        </c:ser>
        <c:axId val="141822208"/>
        <c:axId val="141836288"/>
      </c:barChart>
      <c:catAx>
        <c:axId val="141822208"/>
        <c:scaling>
          <c:orientation val="minMax"/>
        </c:scaling>
        <c:delete val="1"/>
        <c:axPos val="l"/>
        <c:numFmt formatCode="0.00%" sourceLinked="1"/>
        <c:tickLblPos val="none"/>
        <c:crossAx val="141836288"/>
        <c:crosses val="autoZero"/>
        <c:auto val="1"/>
        <c:lblAlgn val="ctr"/>
        <c:lblOffset val="100"/>
      </c:catAx>
      <c:valAx>
        <c:axId val="141836288"/>
        <c:scaling>
          <c:orientation val="minMax"/>
          <c:max val="1"/>
          <c:min val="0"/>
        </c:scaling>
        <c:axPos val="b"/>
        <c:majorGridlines/>
        <c:numFmt formatCode="0.00%" sourceLinked="1"/>
        <c:tickLblPos val="nextTo"/>
        <c:crossAx val="141822208"/>
        <c:crosses val="autoZero"/>
        <c:crossBetween val="between"/>
      </c:valAx>
    </c:plotArea>
    <c:plotVisOnly val="1"/>
    <c:dispBlanksAs val="gap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28575">
      <a:solidFill>
        <a:schemeClr val="bg1"/>
      </a:solidFill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5"/>
  <c:chart>
    <c:title>
      <c:layout>
        <c:manualLayout>
          <c:xMode val="edge"/>
          <c:yMode val="edge"/>
          <c:x val="0.11661877394636019"/>
          <c:y val="1.5581524763494942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strRef>
              <c:f>Metrics!$B$7</c:f>
              <c:strCache>
                <c:ptCount val="1"/>
                <c:pt idx="0">
                  <c:v>Avg. Time of Completion</c:v>
                </c:pt>
              </c:strCache>
            </c:strRef>
          </c:tx>
          <c:dPt>
            <c:idx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numRef>
              <c:f>Metrics!$A$7</c:f>
              <c:numCache>
                <c:formatCode>hh:mm:ss</c:formatCode>
                <c:ptCount val="1"/>
                <c:pt idx="0">
                  <c:v>0.30236433873991109</c:v>
                </c:pt>
              </c:numCache>
            </c:numRef>
          </c:cat>
          <c:val>
            <c:numRef>
              <c:f>Metrics!$A$65516</c:f>
              <c:numCache>
                <c:formatCode>0.00</c:formatCode>
                <c:ptCount val="1"/>
                <c:pt idx="0">
                  <c:v>7.2567441297578661</c:v>
                </c:pt>
              </c:numCache>
            </c:numRef>
          </c:val>
        </c:ser>
        <c:axId val="141863168"/>
        <c:axId val="141864960"/>
      </c:barChart>
      <c:catAx>
        <c:axId val="141863168"/>
        <c:scaling>
          <c:orientation val="minMax"/>
        </c:scaling>
        <c:delete val="1"/>
        <c:axPos val="b"/>
        <c:numFmt formatCode="hh:mm:ss" sourceLinked="1"/>
        <c:tickLblPos val="none"/>
        <c:crossAx val="141864960"/>
        <c:crosses val="autoZero"/>
        <c:auto val="1"/>
        <c:lblAlgn val="ctr"/>
        <c:lblOffset val="100"/>
      </c:catAx>
      <c:valAx>
        <c:axId val="141864960"/>
        <c:scaling>
          <c:orientation val="minMax"/>
          <c:max val="8"/>
          <c:min val="0"/>
        </c:scaling>
        <c:axPos val="l"/>
        <c:majorGridlines/>
        <c:numFmt formatCode="General" sourceLinked="0"/>
        <c:tickLblPos val="nextTo"/>
        <c:crossAx val="141863168"/>
        <c:crosses val="autoZero"/>
        <c:crossBetween val="between"/>
        <c:majorUnit val="1"/>
        <c:minorUnit val="0.5"/>
      </c:valAx>
      <c:spPr>
        <a:gradFill flip="none" rotWithShape="1">
          <a:gsLst>
            <a:gs pos="0">
              <a:srgbClr val="C0504D">
                <a:lumMod val="75000"/>
              </a:srgbClr>
            </a:gs>
            <a:gs pos="50000">
              <a:srgbClr val="9BBB59">
                <a:lumMod val="75000"/>
              </a:srgbClr>
            </a:gs>
          </a:gsLst>
          <a:lin ang="5400000" scaled="1"/>
          <a:tileRect/>
        </a:gradFill>
      </c:spPr>
    </c:plotArea>
    <c:plotVisOnly val="1"/>
    <c:dispBlanksAs val="gap"/>
  </c:chart>
  <c:spPr>
    <a:ln w="28575">
      <a:solidFill>
        <a:schemeClr val="bg1"/>
      </a:solidFill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2"/>
  <c:chart>
    <c:title/>
    <c:view3D>
      <c:rotX val="40"/>
      <c:rotY val="20"/>
      <c:depthPercent val="100"/>
      <c:perspective val="10"/>
    </c:view3D>
    <c:plotArea>
      <c:layout/>
      <c:pie3DChart>
        <c:varyColors val="1"/>
        <c:ser>
          <c:idx val="0"/>
          <c:order val="0"/>
          <c:tx>
            <c:strRef>
              <c:f>'5300X NGTS Metrics'!$B$3:$C$3</c:f>
              <c:strCache>
                <c:ptCount val="1"/>
                <c:pt idx="0">
                  <c:v>5300X Failures</c:v>
                </c:pt>
              </c:strCache>
            </c:strRef>
          </c:tx>
          <c:cat>
            <c:multiLvlStrRef>
              <c:f>'5300X NGTS Metrics'!$B$4:$D$28</c:f>
              <c:multiLvlStrCache>
                <c:ptCount val="25"/>
                <c:lvl>
                  <c:pt idx="0">
                    <c:v>791.9875</c:v>
                  </c:pt>
                  <c:pt idx="1">
                    <c:v>851.0125</c:v>
                  </c:pt>
                  <c:pt idx="4">
                    <c:v>854.5275</c:v>
                  </c:pt>
                  <c:pt idx="5">
                    <c:v>854.5275</c:v>
                  </c:pt>
                  <c:pt idx="6">
                    <c:v>854.5275</c:v>
                  </c:pt>
                  <c:pt idx="7">
                    <c:v>856.2175</c:v>
                  </c:pt>
                  <c:pt idx="8">
                    <c:v>854.5275</c:v>
                  </c:pt>
                  <c:pt idx="9">
                    <c:v>856.2175</c:v>
                  </c:pt>
                  <c:pt idx="10">
                    <c:v>854.5275</c:v>
                  </c:pt>
                  <c:pt idx="11">
                    <c:v>856.2175</c:v>
                  </c:pt>
                  <c:pt idx="12">
                    <c:v>809.4275</c:v>
                  </c:pt>
                  <c:pt idx="13">
                    <c:v>810.7175</c:v>
                  </c:pt>
                  <c:pt idx="14">
                    <c:v>809.4275</c:v>
                  </c:pt>
                  <c:pt idx="15">
                    <c:v>810.7175</c:v>
                  </c:pt>
                  <c:pt idx="16">
                    <c:v>809.4275</c:v>
                  </c:pt>
                  <c:pt idx="17">
                    <c:v>809.4275</c:v>
                  </c:pt>
                  <c:pt idx="18">
                    <c:v>810.7175</c:v>
                  </c:pt>
                  <c:pt idx="19">
                    <c:v>809.4275</c:v>
                  </c:pt>
                  <c:pt idx="20">
                    <c:v>810.7175</c:v>
                  </c:pt>
                  <c:pt idx="21">
                    <c:v>854.5275</c:v>
                  </c:pt>
                  <c:pt idx="22">
                    <c:v>856.2175</c:v>
                  </c:pt>
                  <c:pt idx="23">
                    <c:v>809.4275</c:v>
                  </c:pt>
                  <c:pt idx="24">
                    <c:v>810.7175</c:v>
                  </c:pt>
                </c:lvl>
                <c:lvl>
                  <c:pt idx="0">
                    <c:v>Tune Tx Frequency</c:v>
                  </c:pt>
                  <c:pt idx="1">
                    <c:v>Tune Squelch</c:v>
                  </c:pt>
                  <c:pt idx="2">
                    <c:v>Tune Tx Power</c:v>
                  </c:pt>
                  <c:pt idx="3">
                    <c:v>Tune Modulation PASSED</c:v>
                  </c:pt>
                  <c:pt idx="4">
                    <c:v>Rx Current Squelched</c:v>
                  </c:pt>
                  <c:pt idx="5">
                    <c:v>NB Set Rated Audio Level</c:v>
                  </c:pt>
                  <c:pt idx="6">
                    <c:v>NB Rx Audio Distortion</c:v>
                  </c:pt>
                  <c:pt idx="7">
                    <c:v>NB Rx Audio Distortion</c:v>
                  </c:pt>
                  <c:pt idx="8">
                    <c:v>NB Rx Sensitivity Slow</c:v>
                  </c:pt>
                  <c:pt idx="9">
                    <c:v>NB Rx Sensitivity Slow</c:v>
                  </c:pt>
                  <c:pt idx="10">
                    <c:v>NB Rx Hum and Noise</c:v>
                  </c:pt>
                  <c:pt idx="11">
                    <c:v>NB Rx Hum and Noise</c:v>
                  </c:pt>
                  <c:pt idx="12">
                    <c:v>Tx Power at 13.6 Volts</c:v>
                  </c:pt>
                  <c:pt idx="13">
                    <c:v>Tx Power at 13.6 Volts</c:v>
                  </c:pt>
                  <c:pt idx="14">
                    <c:v>Tx Current at High Power</c:v>
                  </c:pt>
                  <c:pt idx="15">
                    <c:v>Tx Current at High Power</c:v>
                  </c:pt>
                  <c:pt idx="16">
                    <c:v>Tx Frequency Error</c:v>
                  </c:pt>
                  <c:pt idx="17">
                    <c:v>NB Modulation Capability</c:v>
                  </c:pt>
                  <c:pt idx="18">
                    <c:v>NB Modulation Capability</c:v>
                  </c:pt>
                  <c:pt idx="19">
                    <c:v>Tx Modulation Fidelity Lo Dev</c:v>
                  </c:pt>
                  <c:pt idx="20">
                    <c:v>Tx Modulation Fidelity Hi Dev</c:v>
                  </c:pt>
                  <c:pt idx="21">
                    <c:v>BER</c:v>
                  </c:pt>
                  <c:pt idx="22">
                    <c:v>BER</c:v>
                  </c:pt>
                  <c:pt idx="23">
                    <c:v>Tx Modulation Fidelity</c:v>
                  </c:pt>
                  <c:pt idx="24">
                    <c:v>Tx Modulation Fidelity</c:v>
                  </c:pt>
                </c:lvl>
              </c:multiLvlStrCache>
            </c:multiLvlStrRef>
          </c:cat>
          <c:val>
            <c:numRef>
              <c:f>'5300X NGTS Metrics'!$A$4:$A$28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</c:pie3DChart>
    </c:plotArea>
    <c:legend>
      <c:legendPos val="r"/>
      <c:layout>
        <c:manualLayout>
          <c:xMode val="edge"/>
          <c:yMode val="edge"/>
          <c:x val="0.76146584848686572"/>
          <c:y val="4.2745195555357308E-2"/>
          <c:w val="0.23021848805524001"/>
          <c:h val="0.90191191993195008"/>
        </c:manualLayout>
      </c:layout>
    </c:legend>
    <c:plotVisOnly val="1"/>
    <c:dispBlanksAs val="zero"/>
  </c:chart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8"/>
  <c:chart>
    <c:title>
      <c:tx>
        <c:rich>
          <a:bodyPr/>
          <a:lstStyle/>
          <a:p>
            <a:pPr>
              <a:defRPr sz="1000"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1000">
                <a:latin typeface="Verdana" pitchFamily="34" charset="0"/>
                <a:ea typeface="Verdana" pitchFamily="34" charset="0"/>
                <a:cs typeface="Verdana" pitchFamily="34" charset="0"/>
              </a:rPr>
              <a:t>Project</a:t>
            </a:r>
            <a:r>
              <a:rPr lang="en-US" sz="1000" baseline="0">
                <a:latin typeface="Verdana" pitchFamily="34" charset="0"/>
                <a:ea typeface="Verdana" pitchFamily="34" charset="0"/>
                <a:cs typeface="Verdana" pitchFamily="34" charset="0"/>
              </a:rPr>
              <a:t> Completion Status</a:t>
            </a:r>
            <a:endParaRPr lang="en-US" sz="1000"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Metrics!$B$6</c:f>
              <c:strCache>
                <c:ptCount val="1"/>
                <c:pt idx="0">
                  <c:v>Percentage Complete</c:v>
                </c:pt>
              </c:strCache>
            </c:strRef>
          </c:tx>
          <c:cat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cat>
          <c:val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val>
        </c:ser>
        <c:axId val="142035584"/>
        <c:axId val="142074240"/>
      </c:barChart>
      <c:catAx>
        <c:axId val="142035584"/>
        <c:scaling>
          <c:orientation val="minMax"/>
        </c:scaling>
        <c:delete val="1"/>
        <c:axPos val="l"/>
        <c:numFmt formatCode="0.00%" sourceLinked="1"/>
        <c:tickLblPos val="none"/>
        <c:crossAx val="142074240"/>
        <c:crosses val="autoZero"/>
        <c:auto val="1"/>
        <c:lblAlgn val="ctr"/>
        <c:lblOffset val="100"/>
      </c:catAx>
      <c:valAx>
        <c:axId val="142074240"/>
        <c:scaling>
          <c:orientation val="minMax"/>
          <c:max val="1"/>
          <c:min val="0"/>
        </c:scaling>
        <c:axPos val="b"/>
        <c:majorGridlines/>
        <c:numFmt formatCode="0.00%" sourceLinked="1"/>
        <c:tickLblPos val="nextTo"/>
        <c:crossAx val="142035584"/>
        <c:crosses val="autoZero"/>
        <c:crossBetween val="between"/>
      </c:valAx>
    </c:plotArea>
    <c:plotVisOnly val="1"/>
    <c:dispBlanksAs val="gap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28575">
      <a:solidFill>
        <a:schemeClr val="bg1"/>
      </a:solidFill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5"/>
  <c:chart>
    <c:title>
      <c:layout>
        <c:manualLayout>
          <c:xMode val="edge"/>
          <c:yMode val="edge"/>
          <c:x val="0.11661877394636019"/>
          <c:y val="1.5581524763494942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strRef>
              <c:f>Metrics!$B$7</c:f>
              <c:strCache>
                <c:ptCount val="1"/>
                <c:pt idx="0">
                  <c:v>Avg. Time of Completion</c:v>
                </c:pt>
              </c:strCache>
            </c:strRef>
          </c:tx>
          <c:dPt>
            <c:idx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numRef>
              <c:f>Metrics!$A$7</c:f>
              <c:numCache>
                <c:formatCode>hh:mm:ss</c:formatCode>
                <c:ptCount val="1"/>
                <c:pt idx="0">
                  <c:v>0.30236433873991109</c:v>
                </c:pt>
              </c:numCache>
            </c:numRef>
          </c:cat>
          <c:val>
            <c:numRef>
              <c:f>Metrics!$A$65516</c:f>
              <c:numCache>
                <c:formatCode>0.00</c:formatCode>
                <c:ptCount val="1"/>
                <c:pt idx="0">
                  <c:v>7.2567441297578661</c:v>
                </c:pt>
              </c:numCache>
            </c:numRef>
          </c:val>
        </c:ser>
        <c:axId val="142084736"/>
        <c:axId val="142094720"/>
      </c:barChart>
      <c:catAx>
        <c:axId val="142084736"/>
        <c:scaling>
          <c:orientation val="minMax"/>
        </c:scaling>
        <c:delete val="1"/>
        <c:axPos val="b"/>
        <c:numFmt formatCode="hh:mm:ss" sourceLinked="1"/>
        <c:tickLblPos val="none"/>
        <c:crossAx val="142094720"/>
        <c:crosses val="autoZero"/>
        <c:auto val="1"/>
        <c:lblAlgn val="ctr"/>
        <c:lblOffset val="100"/>
      </c:catAx>
      <c:valAx>
        <c:axId val="142094720"/>
        <c:scaling>
          <c:orientation val="minMax"/>
          <c:max val="8"/>
          <c:min val="0"/>
        </c:scaling>
        <c:axPos val="l"/>
        <c:majorGridlines/>
        <c:numFmt formatCode="General" sourceLinked="0"/>
        <c:tickLblPos val="nextTo"/>
        <c:crossAx val="142084736"/>
        <c:crosses val="autoZero"/>
        <c:crossBetween val="between"/>
        <c:majorUnit val="1"/>
        <c:minorUnit val="0.5"/>
      </c:valAx>
      <c:spPr>
        <a:gradFill flip="none" rotWithShape="1">
          <a:gsLst>
            <a:gs pos="0">
              <a:srgbClr val="C0504D">
                <a:lumMod val="75000"/>
              </a:srgbClr>
            </a:gs>
            <a:gs pos="50000">
              <a:srgbClr val="9BBB59">
                <a:lumMod val="75000"/>
              </a:srgbClr>
            </a:gs>
          </a:gsLst>
          <a:lin ang="5400000" scaled="1"/>
          <a:tileRect/>
        </a:gradFill>
      </c:spPr>
    </c:plotArea>
    <c:plotVisOnly val="1"/>
    <c:dispBlanksAs val="gap"/>
  </c:chart>
  <c:spPr>
    <a:ln w="28575">
      <a:solidFill>
        <a:schemeClr val="bg1"/>
      </a:solidFill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2"/>
  <c:chart>
    <c:title/>
    <c:view3D>
      <c:rotX val="40"/>
      <c:rotY val="20"/>
      <c:depthPercent val="100"/>
      <c:perspective val="10"/>
    </c:view3D>
    <c:plotArea>
      <c:layout/>
      <c:pie3DChart>
        <c:varyColors val="1"/>
        <c:ser>
          <c:idx val="0"/>
          <c:order val="0"/>
          <c:tx>
            <c:strRef>
              <c:f>'5300ES NGTS Metrics'!$B$3:$C$3</c:f>
              <c:strCache>
                <c:ptCount val="1"/>
                <c:pt idx="0">
                  <c:v>5300ES Failures</c:v>
                </c:pt>
              </c:strCache>
            </c:strRef>
          </c:tx>
          <c:cat>
            <c:multiLvlStrRef>
              <c:f>'5300ES NGTS Metrics'!$B$4:$D$28</c:f>
              <c:multiLvlStrCache>
                <c:ptCount val="25"/>
                <c:lvl>
                  <c:pt idx="0">
                    <c:v>791.9875</c:v>
                  </c:pt>
                  <c:pt idx="1">
                    <c:v>851.0125</c:v>
                  </c:pt>
                  <c:pt idx="4">
                    <c:v>854.5275</c:v>
                  </c:pt>
                  <c:pt idx="5">
                    <c:v>854.5275</c:v>
                  </c:pt>
                  <c:pt idx="6">
                    <c:v>854.5275</c:v>
                  </c:pt>
                  <c:pt idx="7">
                    <c:v>856.2175</c:v>
                  </c:pt>
                  <c:pt idx="8">
                    <c:v>854.5275</c:v>
                  </c:pt>
                  <c:pt idx="9">
                    <c:v>856.2175</c:v>
                  </c:pt>
                  <c:pt idx="10">
                    <c:v>854.5275</c:v>
                  </c:pt>
                  <c:pt idx="11">
                    <c:v>856.2175</c:v>
                  </c:pt>
                  <c:pt idx="12">
                    <c:v>809.4275</c:v>
                  </c:pt>
                  <c:pt idx="13">
                    <c:v>810.7175</c:v>
                  </c:pt>
                  <c:pt idx="14">
                    <c:v>809.4275</c:v>
                  </c:pt>
                  <c:pt idx="15">
                    <c:v>810.7175</c:v>
                  </c:pt>
                  <c:pt idx="16">
                    <c:v>809.4275</c:v>
                  </c:pt>
                  <c:pt idx="17">
                    <c:v>809.4275</c:v>
                  </c:pt>
                  <c:pt idx="18">
                    <c:v>810.7175</c:v>
                  </c:pt>
                  <c:pt idx="19">
                    <c:v>809.4275</c:v>
                  </c:pt>
                  <c:pt idx="20">
                    <c:v>810.7175</c:v>
                  </c:pt>
                  <c:pt idx="21">
                    <c:v>854.5275</c:v>
                  </c:pt>
                  <c:pt idx="22">
                    <c:v>856.2175</c:v>
                  </c:pt>
                  <c:pt idx="23">
                    <c:v>809.4275</c:v>
                  </c:pt>
                  <c:pt idx="24">
                    <c:v>810.7175</c:v>
                  </c:pt>
                </c:lvl>
                <c:lvl>
                  <c:pt idx="0">
                    <c:v>Tune Tx Frequency</c:v>
                  </c:pt>
                  <c:pt idx="1">
                    <c:v>Tune Squelch</c:v>
                  </c:pt>
                  <c:pt idx="2">
                    <c:v>Tune Tx Power</c:v>
                  </c:pt>
                  <c:pt idx="3">
                    <c:v>Tune Modulation PASSED</c:v>
                  </c:pt>
                  <c:pt idx="4">
                    <c:v>Rx Current Squelched</c:v>
                  </c:pt>
                  <c:pt idx="5">
                    <c:v>NB Set Rated Audio Level</c:v>
                  </c:pt>
                  <c:pt idx="6">
                    <c:v>NB Rx Audio Distortion</c:v>
                  </c:pt>
                  <c:pt idx="7">
                    <c:v>NB Rx Audio Distortion</c:v>
                  </c:pt>
                  <c:pt idx="8">
                    <c:v>NB Rx Sensitivity Slow</c:v>
                  </c:pt>
                  <c:pt idx="9">
                    <c:v>NB Rx Sensitivity Slow</c:v>
                  </c:pt>
                  <c:pt idx="10">
                    <c:v>NB Rx Hum and Noise</c:v>
                  </c:pt>
                  <c:pt idx="11">
                    <c:v>NB Rx Hum and Noise</c:v>
                  </c:pt>
                  <c:pt idx="12">
                    <c:v>Tx Power at 13.6 Volts</c:v>
                  </c:pt>
                  <c:pt idx="13">
                    <c:v>Tx Power at 13.6 Volts</c:v>
                  </c:pt>
                  <c:pt idx="14">
                    <c:v>Tx Current at High Power</c:v>
                  </c:pt>
                  <c:pt idx="15">
                    <c:v>Tx Current at High Power</c:v>
                  </c:pt>
                  <c:pt idx="16">
                    <c:v>Tx Frequency Error</c:v>
                  </c:pt>
                  <c:pt idx="17">
                    <c:v>NB Modulation Capability</c:v>
                  </c:pt>
                  <c:pt idx="18">
                    <c:v>NB Modulation Capability</c:v>
                  </c:pt>
                  <c:pt idx="19">
                    <c:v>Tx Modulation Fidelity Lo Dev</c:v>
                  </c:pt>
                  <c:pt idx="20">
                    <c:v>Tx Modulation Fidelity Hi Dev</c:v>
                  </c:pt>
                  <c:pt idx="21">
                    <c:v>BER</c:v>
                  </c:pt>
                  <c:pt idx="22">
                    <c:v>BER</c:v>
                  </c:pt>
                  <c:pt idx="23">
                    <c:v>Tx Modulation Fidelity</c:v>
                  </c:pt>
                  <c:pt idx="24">
                    <c:v>Tx Modulation Fidelity</c:v>
                  </c:pt>
                </c:lvl>
              </c:multiLvlStrCache>
            </c:multiLvlStrRef>
          </c:cat>
          <c:val>
            <c:numRef>
              <c:f>'5300ES NGTS Metrics'!$A$4:$A$28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</c:pie3DChart>
    </c:plotArea>
    <c:legend>
      <c:legendPos val="r"/>
      <c:layout>
        <c:manualLayout>
          <c:xMode val="edge"/>
          <c:yMode val="edge"/>
          <c:x val="0.76839556803511888"/>
          <c:y val="4.2745195555357308E-2"/>
          <c:w val="0.2232887685069892"/>
          <c:h val="0.9019119199319503"/>
        </c:manualLayout>
      </c:layout>
    </c:legend>
    <c:plotVisOnly val="1"/>
    <c:dispBlanksAs val="zero"/>
  </c:chart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8"/>
  <c:chart>
    <c:title>
      <c:tx>
        <c:rich>
          <a:bodyPr/>
          <a:lstStyle/>
          <a:p>
            <a:pPr>
              <a:defRPr sz="1000"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1000">
                <a:latin typeface="Verdana" pitchFamily="34" charset="0"/>
                <a:ea typeface="Verdana" pitchFamily="34" charset="0"/>
                <a:cs typeface="Verdana" pitchFamily="34" charset="0"/>
              </a:rPr>
              <a:t>Project</a:t>
            </a:r>
            <a:r>
              <a:rPr lang="en-US" sz="1000" baseline="0">
                <a:latin typeface="Verdana" pitchFamily="34" charset="0"/>
                <a:ea typeface="Verdana" pitchFamily="34" charset="0"/>
                <a:cs typeface="Verdana" pitchFamily="34" charset="0"/>
              </a:rPr>
              <a:t> Completion Status</a:t>
            </a:r>
            <a:endParaRPr lang="en-US" sz="1000"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Metrics!$B$6</c:f>
              <c:strCache>
                <c:ptCount val="1"/>
                <c:pt idx="0">
                  <c:v>Percentage Complete</c:v>
                </c:pt>
              </c:strCache>
            </c:strRef>
          </c:tx>
          <c:cat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cat>
          <c:val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val>
        </c:ser>
        <c:axId val="142216192"/>
        <c:axId val="142222080"/>
      </c:barChart>
      <c:catAx>
        <c:axId val="142216192"/>
        <c:scaling>
          <c:orientation val="minMax"/>
        </c:scaling>
        <c:delete val="1"/>
        <c:axPos val="l"/>
        <c:numFmt formatCode="0.00%" sourceLinked="1"/>
        <c:tickLblPos val="none"/>
        <c:crossAx val="142222080"/>
        <c:crosses val="autoZero"/>
        <c:auto val="1"/>
        <c:lblAlgn val="ctr"/>
        <c:lblOffset val="100"/>
      </c:catAx>
      <c:valAx>
        <c:axId val="142222080"/>
        <c:scaling>
          <c:orientation val="minMax"/>
          <c:max val="1"/>
          <c:min val="0"/>
        </c:scaling>
        <c:axPos val="b"/>
        <c:majorGridlines/>
        <c:numFmt formatCode="0.00%" sourceLinked="1"/>
        <c:tickLblPos val="nextTo"/>
        <c:crossAx val="142216192"/>
        <c:crosses val="autoZero"/>
        <c:crossBetween val="between"/>
      </c:valAx>
    </c:plotArea>
    <c:plotVisOnly val="1"/>
    <c:dispBlanksAs val="gap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28575">
      <a:solidFill>
        <a:schemeClr val="bg1"/>
      </a:solidFill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5"/>
  <c:chart>
    <c:title>
      <c:layout>
        <c:manualLayout>
          <c:xMode val="edge"/>
          <c:yMode val="edge"/>
          <c:x val="0.11661877394636019"/>
          <c:y val="1.5581524763494942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strRef>
              <c:f>Metrics!$B$7</c:f>
              <c:strCache>
                <c:ptCount val="1"/>
                <c:pt idx="0">
                  <c:v>Avg. Time of Completion</c:v>
                </c:pt>
              </c:strCache>
            </c:strRef>
          </c:tx>
          <c:dPt>
            <c:idx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numRef>
              <c:f>Metrics!$A$7</c:f>
              <c:numCache>
                <c:formatCode>hh:mm:ss</c:formatCode>
                <c:ptCount val="1"/>
                <c:pt idx="0">
                  <c:v>0.30236433873991109</c:v>
                </c:pt>
              </c:numCache>
            </c:numRef>
          </c:cat>
          <c:val>
            <c:numRef>
              <c:f>Metrics!$A$65516</c:f>
              <c:numCache>
                <c:formatCode>0.00</c:formatCode>
                <c:ptCount val="1"/>
                <c:pt idx="0">
                  <c:v>7.2567441297578661</c:v>
                </c:pt>
              </c:numCache>
            </c:numRef>
          </c:val>
        </c:ser>
        <c:axId val="142232576"/>
        <c:axId val="142242560"/>
      </c:barChart>
      <c:catAx>
        <c:axId val="142232576"/>
        <c:scaling>
          <c:orientation val="minMax"/>
        </c:scaling>
        <c:delete val="1"/>
        <c:axPos val="b"/>
        <c:numFmt formatCode="hh:mm:ss" sourceLinked="1"/>
        <c:tickLblPos val="none"/>
        <c:crossAx val="142242560"/>
        <c:crosses val="autoZero"/>
        <c:auto val="1"/>
        <c:lblAlgn val="ctr"/>
        <c:lblOffset val="100"/>
      </c:catAx>
      <c:valAx>
        <c:axId val="142242560"/>
        <c:scaling>
          <c:orientation val="minMax"/>
          <c:max val="8"/>
          <c:min val="0"/>
        </c:scaling>
        <c:axPos val="l"/>
        <c:majorGridlines/>
        <c:numFmt formatCode="General" sourceLinked="0"/>
        <c:tickLblPos val="nextTo"/>
        <c:crossAx val="142232576"/>
        <c:crosses val="autoZero"/>
        <c:crossBetween val="between"/>
        <c:majorUnit val="1"/>
        <c:minorUnit val="0.5"/>
      </c:valAx>
      <c:spPr>
        <a:gradFill flip="none" rotWithShape="1">
          <a:gsLst>
            <a:gs pos="0">
              <a:srgbClr val="C0504D">
                <a:lumMod val="75000"/>
              </a:srgbClr>
            </a:gs>
            <a:gs pos="50000">
              <a:srgbClr val="9BBB59">
                <a:lumMod val="75000"/>
              </a:srgbClr>
            </a:gs>
          </a:gsLst>
          <a:lin ang="5400000" scaled="1"/>
          <a:tileRect/>
        </a:gradFill>
      </c:spPr>
    </c:plotArea>
    <c:plotVisOnly val="1"/>
    <c:dispBlanksAs val="gap"/>
  </c:chart>
  <c:spPr>
    <a:ln w="28575">
      <a:solidFill>
        <a:schemeClr val="bg1"/>
      </a:solidFill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2"/>
  <c:chart>
    <c:title/>
    <c:view3D>
      <c:rotX val="40"/>
      <c:rotY val="20"/>
      <c:depthPercent val="100"/>
      <c:perspective val="10"/>
    </c:view3D>
    <c:plotArea>
      <c:layout/>
      <c:pie3DChart>
        <c:varyColors val="1"/>
        <c:ser>
          <c:idx val="0"/>
          <c:order val="0"/>
          <c:tx>
            <c:strRef>
              <c:f>'53Ascend NGTS Metrics'!$B$3:$C$3</c:f>
              <c:strCache>
                <c:ptCount val="1"/>
                <c:pt idx="0">
                  <c:v>53Ascend Failures</c:v>
                </c:pt>
              </c:strCache>
            </c:strRef>
          </c:tx>
          <c:cat>
            <c:multiLvlStrRef>
              <c:f>'53Ascend NGTS Metrics'!$B$4:$D$28</c:f>
              <c:multiLvlStrCache>
                <c:ptCount val="25"/>
                <c:lvl>
                  <c:pt idx="0">
                    <c:v>791.9875</c:v>
                  </c:pt>
                  <c:pt idx="1">
                    <c:v>851.0125</c:v>
                  </c:pt>
                  <c:pt idx="4">
                    <c:v>854.5275</c:v>
                  </c:pt>
                  <c:pt idx="5">
                    <c:v>854.5275</c:v>
                  </c:pt>
                  <c:pt idx="6">
                    <c:v>854.5275</c:v>
                  </c:pt>
                  <c:pt idx="7">
                    <c:v>856.2175</c:v>
                  </c:pt>
                  <c:pt idx="8">
                    <c:v>854.5275</c:v>
                  </c:pt>
                  <c:pt idx="9">
                    <c:v>856.2175</c:v>
                  </c:pt>
                  <c:pt idx="10">
                    <c:v>854.5275</c:v>
                  </c:pt>
                  <c:pt idx="11">
                    <c:v>856.2175</c:v>
                  </c:pt>
                  <c:pt idx="12">
                    <c:v>809.4275</c:v>
                  </c:pt>
                  <c:pt idx="13">
                    <c:v>810.7175</c:v>
                  </c:pt>
                  <c:pt idx="14">
                    <c:v>809.4275</c:v>
                  </c:pt>
                  <c:pt idx="15">
                    <c:v>810.7175</c:v>
                  </c:pt>
                  <c:pt idx="16">
                    <c:v>809.4275</c:v>
                  </c:pt>
                  <c:pt idx="17">
                    <c:v>809.4275</c:v>
                  </c:pt>
                  <c:pt idx="18">
                    <c:v>810.7175</c:v>
                  </c:pt>
                  <c:pt idx="19">
                    <c:v>809.4275</c:v>
                  </c:pt>
                  <c:pt idx="20">
                    <c:v>810.7175</c:v>
                  </c:pt>
                  <c:pt idx="21">
                    <c:v>854.5275</c:v>
                  </c:pt>
                  <c:pt idx="22">
                    <c:v>856.2175</c:v>
                  </c:pt>
                  <c:pt idx="23">
                    <c:v>809.4275</c:v>
                  </c:pt>
                  <c:pt idx="24">
                    <c:v>810.7175</c:v>
                  </c:pt>
                </c:lvl>
                <c:lvl>
                  <c:pt idx="0">
                    <c:v>Tune Tx Frequency</c:v>
                  </c:pt>
                  <c:pt idx="1">
                    <c:v>Tune Squelch</c:v>
                  </c:pt>
                  <c:pt idx="2">
                    <c:v>Tune Tx Power</c:v>
                  </c:pt>
                  <c:pt idx="3">
                    <c:v>Tune Modulation</c:v>
                  </c:pt>
                  <c:pt idx="4">
                    <c:v>Rx Current Squelched</c:v>
                  </c:pt>
                  <c:pt idx="5">
                    <c:v>NB Set Rated Audio Level</c:v>
                  </c:pt>
                  <c:pt idx="6">
                    <c:v>NB Rx Audio Distortion</c:v>
                  </c:pt>
                  <c:pt idx="7">
                    <c:v>NB Rx Audio Distortion</c:v>
                  </c:pt>
                  <c:pt idx="8">
                    <c:v>NB Rx Sensitivity Slow</c:v>
                  </c:pt>
                  <c:pt idx="9">
                    <c:v>NB Rx Sensitivity Slow</c:v>
                  </c:pt>
                  <c:pt idx="10">
                    <c:v>NB Rx Hum and Noise</c:v>
                  </c:pt>
                  <c:pt idx="11">
                    <c:v>NB Rx Hum and Noise</c:v>
                  </c:pt>
                  <c:pt idx="12">
                    <c:v>Tx Power at 13.6 Volts</c:v>
                  </c:pt>
                  <c:pt idx="13">
                    <c:v>Tx Power at 13.6 Volts</c:v>
                  </c:pt>
                  <c:pt idx="14">
                    <c:v>Tx Current at High Power</c:v>
                  </c:pt>
                  <c:pt idx="15">
                    <c:v>Tx Current at High Power</c:v>
                  </c:pt>
                  <c:pt idx="16">
                    <c:v>Tx Frequency Error</c:v>
                  </c:pt>
                  <c:pt idx="17">
                    <c:v>NB Modulation Capability</c:v>
                  </c:pt>
                  <c:pt idx="18">
                    <c:v>NB Modulation Capability</c:v>
                  </c:pt>
                  <c:pt idx="19">
                    <c:v>Tx Modulation Fidelity Lo Dev</c:v>
                  </c:pt>
                  <c:pt idx="20">
                    <c:v>Tx Modulation Fidelity Hi Dev</c:v>
                  </c:pt>
                  <c:pt idx="21">
                    <c:v>BER</c:v>
                  </c:pt>
                  <c:pt idx="22">
                    <c:v>BER</c:v>
                  </c:pt>
                  <c:pt idx="23">
                    <c:v>Tx Modulation Fidelity</c:v>
                  </c:pt>
                  <c:pt idx="24">
                    <c:v>Tx Modulation Fidelity</c:v>
                  </c:pt>
                </c:lvl>
              </c:multiLvlStrCache>
            </c:multiLvlStrRef>
          </c:cat>
          <c:val>
            <c:numRef>
              <c:f>'53Ascend NGTS Metrics'!$A$4:$A$28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</c:numCache>
            </c:numRef>
          </c:val>
        </c:ser>
      </c:pie3DChart>
    </c:plotArea>
    <c:legend>
      <c:legendPos val="r"/>
      <c:layout>
        <c:manualLayout>
          <c:xMode val="edge"/>
          <c:yMode val="edge"/>
          <c:x val="0.7656236802158225"/>
          <c:y val="4.2745195555357308E-2"/>
          <c:w val="0.2260606563262883"/>
          <c:h val="0.90191191993195008"/>
        </c:manualLayout>
      </c:layout>
    </c:legend>
    <c:plotVisOnly val="1"/>
    <c:dispBlanksAs val="zero"/>
  </c:chart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8"/>
  <c:chart>
    <c:title>
      <c:tx>
        <c:rich>
          <a:bodyPr/>
          <a:lstStyle/>
          <a:p>
            <a:pPr>
              <a:defRPr sz="1000"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1000">
                <a:latin typeface="Verdana" pitchFamily="34" charset="0"/>
                <a:ea typeface="Verdana" pitchFamily="34" charset="0"/>
                <a:cs typeface="Verdana" pitchFamily="34" charset="0"/>
              </a:rPr>
              <a:t>Project</a:t>
            </a:r>
            <a:r>
              <a:rPr lang="en-US" sz="1000" baseline="0">
                <a:latin typeface="Verdana" pitchFamily="34" charset="0"/>
                <a:ea typeface="Verdana" pitchFamily="34" charset="0"/>
                <a:cs typeface="Verdana" pitchFamily="34" charset="0"/>
              </a:rPr>
              <a:t> Completion Status</a:t>
            </a:r>
            <a:endParaRPr lang="en-US" sz="1000"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Metrics!$B$6</c:f>
              <c:strCache>
                <c:ptCount val="1"/>
                <c:pt idx="0">
                  <c:v>Percentage Complete</c:v>
                </c:pt>
              </c:strCache>
            </c:strRef>
          </c:tx>
          <c:cat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cat>
          <c:val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val>
        </c:ser>
        <c:axId val="142351744"/>
        <c:axId val="142386304"/>
      </c:barChart>
      <c:catAx>
        <c:axId val="142351744"/>
        <c:scaling>
          <c:orientation val="minMax"/>
        </c:scaling>
        <c:delete val="1"/>
        <c:axPos val="l"/>
        <c:numFmt formatCode="0.00%" sourceLinked="1"/>
        <c:tickLblPos val="none"/>
        <c:crossAx val="142386304"/>
        <c:crosses val="autoZero"/>
        <c:auto val="1"/>
        <c:lblAlgn val="ctr"/>
        <c:lblOffset val="100"/>
      </c:catAx>
      <c:valAx>
        <c:axId val="142386304"/>
        <c:scaling>
          <c:orientation val="minMax"/>
          <c:max val="1"/>
          <c:min val="0"/>
        </c:scaling>
        <c:axPos val="b"/>
        <c:majorGridlines/>
        <c:numFmt formatCode="0.00%" sourceLinked="1"/>
        <c:tickLblPos val="nextTo"/>
        <c:crossAx val="142351744"/>
        <c:crosses val="autoZero"/>
        <c:crossBetween val="between"/>
      </c:valAx>
    </c:plotArea>
    <c:plotVisOnly val="1"/>
    <c:dispBlanksAs val="gap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28575">
      <a:solidFill>
        <a:schemeClr val="bg1"/>
      </a:solidFill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5"/>
  <c:chart>
    <c:title>
      <c:layout>
        <c:manualLayout>
          <c:xMode val="edge"/>
          <c:yMode val="edge"/>
          <c:x val="0.11661877394636019"/>
          <c:y val="1.5581524763494942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strRef>
              <c:f>Metrics!$B$7</c:f>
              <c:strCache>
                <c:ptCount val="1"/>
                <c:pt idx="0">
                  <c:v>Avg. Time of Completion</c:v>
                </c:pt>
              </c:strCache>
            </c:strRef>
          </c:tx>
          <c:dPt>
            <c:idx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numRef>
              <c:f>Metrics!$A$7</c:f>
              <c:numCache>
                <c:formatCode>hh:mm:ss</c:formatCode>
                <c:ptCount val="1"/>
                <c:pt idx="0">
                  <c:v>0.30236433873991109</c:v>
                </c:pt>
              </c:numCache>
            </c:numRef>
          </c:cat>
          <c:val>
            <c:numRef>
              <c:f>Metrics!$A$65516</c:f>
              <c:numCache>
                <c:formatCode>0.00</c:formatCode>
                <c:ptCount val="1"/>
                <c:pt idx="0">
                  <c:v>7.2567441297578661</c:v>
                </c:pt>
              </c:numCache>
            </c:numRef>
          </c:val>
        </c:ser>
        <c:axId val="142392320"/>
        <c:axId val="142480128"/>
      </c:barChart>
      <c:catAx>
        <c:axId val="142392320"/>
        <c:scaling>
          <c:orientation val="minMax"/>
        </c:scaling>
        <c:delete val="1"/>
        <c:axPos val="b"/>
        <c:numFmt formatCode="hh:mm:ss" sourceLinked="1"/>
        <c:tickLblPos val="none"/>
        <c:crossAx val="142480128"/>
        <c:crosses val="autoZero"/>
        <c:auto val="1"/>
        <c:lblAlgn val="ctr"/>
        <c:lblOffset val="100"/>
      </c:catAx>
      <c:valAx>
        <c:axId val="142480128"/>
        <c:scaling>
          <c:orientation val="minMax"/>
          <c:max val="8"/>
          <c:min val="0"/>
        </c:scaling>
        <c:axPos val="l"/>
        <c:majorGridlines/>
        <c:numFmt formatCode="General" sourceLinked="0"/>
        <c:tickLblPos val="nextTo"/>
        <c:crossAx val="142392320"/>
        <c:crosses val="autoZero"/>
        <c:crossBetween val="between"/>
        <c:majorUnit val="1"/>
        <c:minorUnit val="0.5"/>
      </c:valAx>
      <c:spPr>
        <a:gradFill flip="none" rotWithShape="1">
          <a:gsLst>
            <a:gs pos="0">
              <a:srgbClr val="C0504D">
                <a:lumMod val="75000"/>
              </a:srgbClr>
            </a:gs>
            <a:gs pos="50000">
              <a:srgbClr val="9BBB59">
                <a:lumMod val="75000"/>
              </a:srgbClr>
            </a:gs>
          </a:gsLst>
          <a:lin ang="5400000" scaled="1"/>
          <a:tileRect/>
        </a:gradFill>
      </c:spPr>
    </c:plotArea>
    <c:plotVisOnly val="1"/>
    <c:dispBlanksAs val="gap"/>
  </c:chart>
  <c:spPr>
    <a:ln w="28575">
      <a:solidFill>
        <a:schemeClr val="bg1"/>
      </a:solidFill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2"/>
  <c:chart>
    <c:title>
      <c:tx>
        <c:rich>
          <a:bodyPr/>
          <a:lstStyle/>
          <a:p>
            <a:pPr>
              <a:defRPr/>
            </a:pPr>
            <a:r>
              <a:rPr lang="en-US"/>
              <a:t>Viking Mobile Failures</a:t>
            </a:r>
          </a:p>
        </c:rich>
      </c:tx>
    </c:title>
    <c:view3D>
      <c:rotX val="40"/>
      <c:rotY val="20"/>
      <c:depthPercent val="100"/>
      <c:perspective val="10"/>
    </c:view3D>
    <c:plotArea>
      <c:layout/>
      <c:pie3DChart>
        <c:varyColors val="1"/>
        <c:ser>
          <c:idx val="0"/>
          <c:order val="0"/>
          <c:tx>
            <c:strRef>
              <c:f>'Viking Mobile NGTS Metrics'!$B$3:$C$3</c:f>
              <c:strCache>
                <c:ptCount val="1"/>
                <c:pt idx="0">
                  <c:v>53Ascend Failures</c:v>
                </c:pt>
              </c:strCache>
            </c:strRef>
          </c:tx>
          <c:cat>
            <c:multiLvlStrRef>
              <c:f>'Viking Mobile NGTS Metrics'!$B$4:$D$28</c:f>
              <c:multiLvlStrCache>
                <c:ptCount val="25"/>
                <c:lvl>
                  <c:pt idx="0">
                    <c:v>791.9875</c:v>
                  </c:pt>
                  <c:pt idx="1">
                    <c:v>851.0125</c:v>
                  </c:pt>
                  <c:pt idx="4">
                    <c:v>854.5275</c:v>
                  </c:pt>
                  <c:pt idx="5">
                    <c:v>854.5275</c:v>
                  </c:pt>
                  <c:pt idx="6">
                    <c:v>854.5275</c:v>
                  </c:pt>
                  <c:pt idx="7">
                    <c:v>856.2175</c:v>
                  </c:pt>
                  <c:pt idx="8">
                    <c:v>854.5275</c:v>
                  </c:pt>
                  <c:pt idx="9">
                    <c:v>856.2175</c:v>
                  </c:pt>
                  <c:pt idx="10">
                    <c:v>854.5275</c:v>
                  </c:pt>
                  <c:pt idx="11">
                    <c:v>856.2175</c:v>
                  </c:pt>
                  <c:pt idx="12">
                    <c:v>809.4275</c:v>
                  </c:pt>
                  <c:pt idx="13">
                    <c:v>810.7175</c:v>
                  </c:pt>
                  <c:pt idx="14">
                    <c:v>809.4275</c:v>
                  </c:pt>
                  <c:pt idx="15">
                    <c:v>810.7175</c:v>
                  </c:pt>
                  <c:pt idx="16">
                    <c:v>809.4275</c:v>
                  </c:pt>
                  <c:pt idx="17">
                    <c:v>809.4275</c:v>
                  </c:pt>
                  <c:pt idx="18">
                    <c:v>810.7175</c:v>
                  </c:pt>
                  <c:pt idx="19">
                    <c:v>809.4275</c:v>
                  </c:pt>
                  <c:pt idx="20">
                    <c:v>810.7175</c:v>
                  </c:pt>
                  <c:pt idx="21">
                    <c:v>854.5275</c:v>
                  </c:pt>
                  <c:pt idx="22">
                    <c:v>856.2175</c:v>
                  </c:pt>
                  <c:pt idx="23">
                    <c:v>809.4275</c:v>
                  </c:pt>
                  <c:pt idx="24">
                    <c:v>810.7175</c:v>
                  </c:pt>
                </c:lvl>
                <c:lvl>
                  <c:pt idx="0">
                    <c:v>Tune Tx Frequency</c:v>
                  </c:pt>
                  <c:pt idx="1">
                    <c:v>Tune Squelch</c:v>
                  </c:pt>
                  <c:pt idx="2">
                    <c:v>Tune Tx Power</c:v>
                  </c:pt>
                  <c:pt idx="3">
                    <c:v>Tune Modulation</c:v>
                  </c:pt>
                  <c:pt idx="4">
                    <c:v>Rx Current Squelched</c:v>
                  </c:pt>
                  <c:pt idx="5">
                    <c:v>NB Set Rated Audio Level</c:v>
                  </c:pt>
                  <c:pt idx="6">
                    <c:v>NB Rx Audio Distortion</c:v>
                  </c:pt>
                  <c:pt idx="7">
                    <c:v>NB Rx Audio Distortion</c:v>
                  </c:pt>
                  <c:pt idx="8">
                    <c:v>NB Rx Sensitivity Slow</c:v>
                  </c:pt>
                  <c:pt idx="9">
                    <c:v>NB Rx Sensitivity Slow</c:v>
                  </c:pt>
                  <c:pt idx="10">
                    <c:v>NB Rx Hum and Noise</c:v>
                  </c:pt>
                  <c:pt idx="11">
                    <c:v>NB Rx Hum and Noise</c:v>
                  </c:pt>
                  <c:pt idx="12">
                    <c:v>Tx Power at 13.6 Volts</c:v>
                  </c:pt>
                  <c:pt idx="13">
                    <c:v>Tx Power at 13.6 Volts</c:v>
                  </c:pt>
                  <c:pt idx="14">
                    <c:v>Tx Current at High Power</c:v>
                  </c:pt>
                  <c:pt idx="15">
                    <c:v>Tx Current at High Power</c:v>
                  </c:pt>
                  <c:pt idx="16">
                    <c:v>Tx Frequency Error</c:v>
                  </c:pt>
                  <c:pt idx="17">
                    <c:v>NB Modulation Capability</c:v>
                  </c:pt>
                  <c:pt idx="18">
                    <c:v>NB Modulation Capability</c:v>
                  </c:pt>
                  <c:pt idx="19">
                    <c:v>Tx Modulation Fidelity Lo Dev</c:v>
                  </c:pt>
                  <c:pt idx="20">
                    <c:v>Tx Modulation Fidelity Hi Dev</c:v>
                  </c:pt>
                  <c:pt idx="21">
                    <c:v>BER</c:v>
                  </c:pt>
                  <c:pt idx="22">
                    <c:v>BER</c:v>
                  </c:pt>
                  <c:pt idx="23">
                    <c:v>Tx Modulation Fidelity</c:v>
                  </c:pt>
                  <c:pt idx="24">
                    <c:v>Tx Modulation Fidelity</c:v>
                  </c:pt>
                </c:lvl>
              </c:multiLvlStrCache>
            </c:multiLvlStrRef>
          </c:cat>
          <c:val>
            <c:numRef>
              <c:f>'Viking Mobile NGTS Metrics'!$A$4:$A$28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</c:numCache>
            </c:numRef>
          </c:val>
        </c:ser>
      </c:pie3DChart>
    </c:plotArea>
    <c:legend>
      <c:legendPos val="r"/>
      <c:layout>
        <c:manualLayout>
          <c:xMode val="edge"/>
          <c:yMode val="edge"/>
          <c:x val="0.76562368021582283"/>
          <c:y val="4.2745195555357308E-2"/>
          <c:w val="0.2260606563262883"/>
          <c:h val="0.90191191993194986"/>
        </c:manualLayout>
      </c:layout>
    </c:legend>
    <c:plotVisOnly val="1"/>
    <c:dispBlanksAs val="zero"/>
  </c:chart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8"/>
  <c:chart>
    <c:title>
      <c:tx>
        <c:rich>
          <a:bodyPr/>
          <a:lstStyle/>
          <a:p>
            <a:pPr>
              <a:defRPr sz="1000"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1000">
                <a:latin typeface="Verdana" pitchFamily="34" charset="0"/>
                <a:ea typeface="Verdana" pitchFamily="34" charset="0"/>
                <a:cs typeface="Verdana" pitchFamily="34" charset="0"/>
              </a:rPr>
              <a:t>Project</a:t>
            </a:r>
            <a:r>
              <a:rPr lang="en-US" sz="1000" baseline="0">
                <a:latin typeface="Verdana" pitchFamily="34" charset="0"/>
                <a:ea typeface="Verdana" pitchFamily="34" charset="0"/>
                <a:cs typeface="Verdana" pitchFamily="34" charset="0"/>
              </a:rPr>
              <a:t> Completion Status</a:t>
            </a:r>
            <a:endParaRPr lang="en-US" sz="1000"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Metrics!$B$6</c:f>
              <c:strCache>
                <c:ptCount val="1"/>
                <c:pt idx="0">
                  <c:v>Percentage Complete</c:v>
                </c:pt>
              </c:strCache>
            </c:strRef>
          </c:tx>
          <c:cat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cat>
          <c:val>
            <c:numRef>
              <c:f>Metrics!$A$6</c:f>
              <c:numCache>
                <c:formatCode>0.00%</c:formatCode>
                <c:ptCount val="1"/>
                <c:pt idx="0">
                  <c:v>1.08</c:v>
                </c:pt>
              </c:numCache>
            </c:numRef>
          </c:val>
        </c:ser>
        <c:axId val="142552064"/>
        <c:axId val="142582528"/>
      </c:barChart>
      <c:catAx>
        <c:axId val="142552064"/>
        <c:scaling>
          <c:orientation val="minMax"/>
        </c:scaling>
        <c:delete val="1"/>
        <c:axPos val="l"/>
        <c:numFmt formatCode="0.00%" sourceLinked="1"/>
        <c:tickLblPos val="none"/>
        <c:crossAx val="142582528"/>
        <c:crosses val="autoZero"/>
        <c:auto val="1"/>
        <c:lblAlgn val="ctr"/>
        <c:lblOffset val="100"/>
      </c:catAx>
      <c:valAx>
        <c:axId val="142582528"/>
        <c:scaling>
          <c:orientation val="minMax"/>
          <c:max val="1"/>
          <c:min val="0"/>
        </c:scaling>
        <c:axPos val="b"/>
        <c:majorGridlines/>
        <c:numFmt formatCode="0.00%" sourceLinked="1"/>
        <c:tickLblPos val="nextTo"/>
        <c:crossAx val="142552064"/>
        <c:crosses val="autoZero"/>
        <c:crossBetween val="between"/>
      </c:valAx>
    </c:plotArea>
    <c:plotVisOnly val="1"/>
    <c:dispBlanksAs val="gap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28575">
      <a:solidFill>
        <a:schemeClr val="bg1"/>
      </a:solidFill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5"/>
  <c:chart>
    <c:title>
      <c:layout>
        <c:manualLayout>
          <c:xMode val="edge"/>
          <c:yMode val="edge"/>
          <c:x val="0.11661877394636019"/>
          <c:y val="1.5581524763494947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strRef>
              <c:f>Metrics!$B$7</c:f>
              <c:strCache>
                <c:ptCount val="1"/>
                <c:pt idx="0">
                  <c:v>Avg. Time of Completion</c:v>
                </c:pt>
              </c:strCache>
            </c:strRef>
          </c:tx>
          <c:dPt>
            <c:idx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numRef>
              <c:f>Metrics!$A$7</c:f>
              <c:numCache>
                <c:formatCode>hh:mm:ss</c:formatCode>
                <c:ptCount val="1"/>
                <c:pt idx="0">
                  <c:v>0.30236433873991109</c:v>
                </c:pt>
              </c:numCache>
            </c:numRef>
          </c:cat>
          <c:val>
            <c:numRef>
              <c:f>Metrics!$A$65516</c:f>
              <c:numCache>
                <c:formatCode>0.00</c:formatCode>
                <c:ptCount val="1"/>
                <c:pt idx="0">
                  <c:v>7.2567441297578661</c:v>
                </c:pt>
              </c:numCache>
            </c:numRef>
          </c:val>
        </c:ser>
        <c:axId val="142609408"/>
        <c:axId val="142611200"/>
      </c:barChart>
      <c:catAx>
        <c:axId val="142609408"/>
        <c:scaling>
          <c:orientation val="minMax"/>
        </c:scaling>
        <c:delete val="1"/>
        <c:axPos val="b"/>
        <c:numFmt formatCode="hh:mm:ss" sourceLinked="1"/>
        <c:tickLblPos val="none"/>
        <c:crossAx val="142611200"/>
        <c:crosses val="autoZero"/>
        <c:auto val="1"/>
        <c:lblAlgn val="ctr"/>
        <c:lblOffset val="100"/>
      </c:catAx>
      <c:valAx>
        <c:axId val="142611200"/>
        <c:scaling>
          <c:orientation val="minMax"/>
          <c:max val="8"/>
          <c:min val="0"/>
        </c:scaling>
        <c:axPos val="l"/>
        <c:majorGridlines/>
        <c:numFmt formatCode="General" sourceLinked="0"/>
        <c:tickLblPos val="nextTo"/>
        <c:crossAx val="142609408"/>
        <c:crosses val="autoZero"/>
        <c:crossBetween val="between"/>
        <c:majorUnit val="1"/>
        <c:minorUnit val="0.5"/>
      </c:valAx>
      <c:spPr>
        <a:gradFill flip="none" rotWithShape="1">
          <a:gsLst>
            <a:gs pos="0">
              <a:srgbClr val="C0504D">
                <a:lumMod val="75000"/>
              </a:srgbClr>
            </a:gs>
            <a:gs pos="50000">
              <a:srgbClr val="9BBB59">
                <a:lumMod val="75000"/>
              </a:srgbClr>
            </a:gs>
          </a:gsLst>
          <a:lin ang="5400000" scaled="1"/>
          <a:tileRect/>
        </a:gradFill>
      </c:spPr>
    </c:plotArea>
    <c:plotVisOnly val="1"/>
    <c:dispBlanksAs val="gap"/>
  </c:chart>
  <c:spPr>
    <a:ln w="28575">
      <a:solidFill>
        <a:schemeClr val="bg1"/>
      </a:solidFill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8"/>
  <c:chart>
    <c:view3D>
      <c:rotY val="12"/>
      <c:depthPercent val="100"/>
      <c:perspective val="30"/>
    </c:view3D>
    <c:floor>
      <c:spPr>
        <a:solidFill>
          <a:sysClr val="window" lastClr="FFFFFF"/>
        </a:solidFill>
      </c:spPr>
    </c:floor>
    <c:sideWall>
      <c:spPr>
        <a:solidFill>
          <a:sysClr val="window" lastClr="FFFFFF"/>
        </a:solidFill>
      </c:spPr>
    </c:sideWall>
    <c:backWall>
      <c:spPr>
        <a:solidFill>
          <a:sysClr val="window" lastClr="FFFFFF"/>
        </a:solidFill>
      </c:spPr>
    </c:backWall>
    <c:plotArea>
      <c:layout>
        <c:manualLayout>
          <c:layoutTarget val="inner"/>
          <c:xMode val="edge"/>
          <c:yMode val="edge"/>
          <c:x val="8.1557015222465848E-2"/>
          <c:y val="0.10648720708777151"/>
          <c:w val="0.67831499776830362"/>
          <c:h val="0.84947681117159901"/>
        </c:manualLayout>
      </c:layout>
      <c:bar3DChart>
        <c:barDir val="col"/>
        <c:grouping val="clustered"/>
        <c:ser>
          <c:idx val="0"/>
          <c:order val="0"/>
          <c:tx>
            <c:strRef>
              <c:f>'Deployment Metrics'!$B$9:$D$9</c:f>
              <c:strCache>
                <c:ptCount val="1"/>
                <c:pt idx="0">
                  <c:v>Total # of Radios Checked In</c:v>
                </c:pt>
              </c:strCache>
            </c:strRef>
          </c:tx>
          <c:val>
            <c:numRef>
              <c:f>'Deployment Metrics'!$A$9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'Deployment Metrics'!$B$10:$D$10</c:f>
              <c:strCache>
                <c:ptCount val="1"/>
                <c:pt idx="0">
                  <c:v>Total # of Radios Checked Out</c:v>
                </c:pt>
              </c:strCache>
            </c:strRef>
          </c:tx>
          <c:val>
            <c:numRef>
              <c:f>'Deployment Metrics'!$A$10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'Deployment Metrics'!$B$11:$D$11</c:f>
              <c:strCache>
                <c:ptCount val="1"/>
                <c:pt idx="0">
                  <c:v>Total # of Radios Not Checked Out</c:v>
                </c:pt>
              </c:strCache>
            </c:strRef>
          </c:tx>
          <c:val>
            <c:numRef>
              <c:f>'Deployment Metrics'!$A$11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'Deployment Metrics'!$B$12:$D$12</c:f>
              <c:strCache>
                <c:ptCount val="1"/>
                <c:pt idx="0">
                  <c:v>Total # of Codeplug Updated</c:v>
                </c:pt>
              </c:strCache>
            </c:strRef>
          </c:tx>
          <c:val>
            <c:numRef>
              <c:f>'Deployment Metrics'!$A$12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'Deployment Metrics'!$B$13:$D$13</c:f>
              <c:strCache>
                <c:ptCount val="1"/>
                <c:pt idx="0">
                  <c:v>Total # of Radios Re-optioned</c:v>
                </c:pt>
              </c:strCache>
            </c:strRef>
          </c:tx>
          <c:val>
            <c:numRef>
              <c:f>'Deployment Metrics'!$A$13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'Deployment Metrics'!$B$14:$D$14</c:f>
              <c:strCache>
                <c:ptCount val="1"/>
                <c:pt idx="0">
                  <c:v>Total # of X Portables</c:v>
                </c:pt>
              </c:strCache>
            </c:strRef>
          </c:tx>
          <c:val>
            <c:numRef>
              <c:f>'Deployment Metrics'!$A$14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'Deployment Metrics'!$B$15:$D$15</c:f>
              <c:strCache>
                <c:ptCount val="1"/>
                <c:pt idx="0">
                  <c:v>Total # of ES Portables</c:v>
                </c:pt>
              </c:strCache>
            </c:strRef>
          </c:tx>
          <c:val>
            <c:numRef>
              <c:f>'Deployment Metrics'!$A$15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'Deployment Metrics'!$B$16:$D$16</c:f>
              <c:strCache>
                <c:ptCount val="1"/>
                <c:pt idx="0">
                  <c:v>Total # of 51SL Portable</c:v>
                </c:pt>
              </c:strCache>
            </c:strRef>
          </c:tx>
          <c:val>
            <c:numRef>
              <c:f>'Deployment Metrics'!$A$16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'Deployment Metrics'!$B$17:$D$17</c:f>
              <c:strCache>
                <c:ptCount val="1"/>
                <c:pt idx="0">
                  <c:v>Total # of Ascend Portable</c:v>
                </c:pt>
              </c:strCache>
            </c:strRef>
          </c:tx>
          <c:val>
            <c:numRef>
              <c:f>'Deployment Metrics'!$A$17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'Deployment Metrics'!$B$18:$D$18</c:f>
              <c:strCache>
                <c:ptCount val="1"/>
                <c:pt idx="0">
                  <c:v>Total # of Viking Portables</c:v>
                </c:pt>
              </c:strCache>
            </c:strRef>
          </c:tx>
          <c:val>
            <c:numRef>
              <c:f>'Deployment Metrics'!$A$18</c:f>
              <c:numCache>
                <c:formatCode>0</c:formatCode>
                <c:ptCount val="1"/>
              </c:numCache>
            </c:numRef>
          </c:val>
        </c:ser>
        <c:ser>
          <c:idx val="10"/>
          <c:order val="10"/>
          <c:tx>
            <c:strRef>
              <c:f>'Deployment Metrics'!$B$19:$D$19</c:f>
              <c:strCache>
                <c:ptCount val="1"/>
                <c:pt idx="0">
                  <c:v>Total # of X Mobiles</c:v>
                </c:pt>
              </c:strCache>
            </c:strRef>
          </c:tx>
          <c:val>
            <c:numRef>
              <c:f>'Deployment Metrics'!$A$19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'Deployment Metrics'!$B$20:$D$20</c:f>
              <c:strCache>
                <c:ptCount val="1"/>
                <c:pt idx="0">
                  <c:v>Total # of ES Mobiles</c:v>
                </c:pt>
              </c:strCache>
            </c:strRef>
          </c:tx>
          <c:val>
            <c:numRef>
              <c:f>'Deployment Metrics'!$A$20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'Deployment Metrics'!$B$21:$D$21</c:f>
              <c:strCache>
                <c:ptCount val="1"/>
                <c:pt idx="0">
                  <c:v>Total # of 51SL Mobiles</c:v>
                </c:pt>
              </c:strCache>
            </c:strRef>
          </c:tx>
          <c:val>
            <c:numRef>
              <c:f>'Deployment Metrics'!$A$21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'Deployment Metrics'!$B$22:$D$22</c:f>
              <c:strCache>
                <c:ptCount val="1"/>
                <c:pt idx="0">
                  <c:v>Total # of Ascend Mobiles</c:v>
                </c:pt>
              </c:strCache>
            </c:strRef>
          </c:tx>
          <c:val>
            <c:numRef>
              <c:f>'Deployment Metrics'!$A$22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'Deployment Metrics'!$B$23:$D$23</c:f>
              <c:strCache>
                <c:ptCount val="1"/>
                <c:pt idx="0">
                  <c:v>Total # of Viking Mobiles</c:v>
                </c:pt>
              </c:strCache>
            </c:strRef>
          </c:tx>
          <c:val>
            <c:numRef>
              <c:f>'Deployment Metrics'!$A$23</c:f>
              <c:numCache>
                <c:formatCode>0</c:formatCode>
                <c:ptCount val="1"/>
              </c:numCache>
            </c:numRef>
          </c:val>
        </c:ser>
        <c:ser>
          <c:idx val="15"/>
          <c:order val="15"/>
          <c:tx>
            <c:strRef>
              <c:f>'Deployment Metrics'!$B$24:$D$24</c:f>
              <c:strCache>
                <c:ptCount val="1"/>
                <c:pt idx="0">
                  <c:v>Total # of Radio Replacements</c:v>
                </c:pt>
              </c:strCache>
            </c:strRef>
          </c:tx>
          <c:val>
            <c:numRef>
              <c:f>'Deployment Metrics'!$A$24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hape val="box"/>
        <c:axId val="137844992"/>
        <c:axId val="137867264"/>
        <c:axId val="0"/>
      </c:bar3DChart>
      <c:catAx>
        <c:axId val="137844992"/>
        <c:scaling>
          <c:orientation val="minMax"/>
        </c:scaling>
        <c:delete val="1"/>
        <c:axPos val="b"/>
        <c:numFmt formatCode="General" sourceLinked="1"/>
        <c:tickLblPos val="none"/>
        <c:crossAx val="137867264"/>
        <c:crosses val="autoZero"/>
        <c:lblAlgn val="ctr"/>
        <c:lblOffset val="100"/>
      </c:catAx>
      <c:valAx>
        <c:axId val="137867264"/>
        <c:scaling>
          <c:orientation val="minMax"/>
          <c:min val="0"/>
        </c:scaling>
        <c:axPos val="l"/>
        <c:majorGridlines>
          <c:spPr>
            <a:ln w="9525" cap="flat" cmpd="sng" algn="ctr">
              <a:solidFill>
                <a:schemeClr val="dk1">
                  <a:shade val="95000"/>
                  <a:satMod val="105000"/>
                </a:schemeClr>
              </a:solidFill>
              <a:prstDash val="solid"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shade val="95000"/>
                  <a:satMod val="105000"/>
                </a:schemeClr>
              </a:solidFill>
              <a:prstDash val="solid"/>
            </a:ln>
            <a:effectLst/>
          </c:spPr>
        </c:minorGridlines>
        <c:numFmt formatCode="0" sourceLinked="1"/>
        <c:tickLblPos val="nextTo"/>
        <c:crossAx val="137844992"/>
        <c:crosses val="autoZero"/>
        <c:crossBetween val="between"/>
        <c:majorUnit val="4"/>
        <c:minorUnit val="2"/>
      </c:valAx>
      <c:spPr>
        <a:gradFill rotWithShape="1">
          <a:gsLst>
            <a:gs pos="0">
              <a:schemeClr val="dk1">
                <a:shade val="51000"/>
                <a:satMod val="130000"/>
              </a:schemeClr>
            </a:gs>
            <a:gs pos="80000">
              <a:schemeClr val="dk1">
                <a:shade val="93000"/>
                <a:satMod val="130000"/>
              </a:schemeClr>
            </a:gs>
            <a:gs pos="100000">
              <a:schemeClr val="dk1">
                <a:shade val="94000"/>
                <a:satMod val="135000"/>
              </a:schemeClr>
            </a:gs>
          </a:gsLst>
          <a:lin ang="16200000" scaled="0"/>
        </a:gradFill>
        <a:ln w="9525" cap="flat" cmpd="sng" algn="ctr">
          <a:solidFill>
            <a:schemeClr val="dk1">
              <a:shade val="95000"/>
              <a:satMod val="105000"/>
            </a:scheme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c:spPr>
    </c:plotArea>
    <c:legend>
      <c:legendPos val="r"/>
      <c:layout>
        <c:manualLayout>
          <c:xMode val="edge"/>
          <c:yMode val="edge"/>
          <c:x val="0.76176028785480165"/>
          <c:y val="6.2868917444559733E-2"/>
          <c:w val="0.21746204570120295"/>
          <c:h val="0.90556083091464956"/>
        </c:manualLayout>
      </c:layout>
      <c:spPr>
        <a:solidFill>
          <a:schemeClr val="tx1"/>
        </a:solidFill>
        <a:ln w="25400" cap="flat" cmpd="sng" algn="ctr">
          <a:solidFill>
            <a:schemeClr val="accent2"/>
          </a:solidFill>
          <a:prstDash val="solid"/>
        </a:ln>
        <a:effectLst/>
      </c:spPr>
    </c:legend>
    <c:plotVisOnly val="1"/>
    <c:dispBlanksAs val="gap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3000" dir="5400000" rotWithShape="0">
        <a:srgbClr val="000000">
          <a:alpha val="35000"/>
        </a:srgb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8"/>
  <c:chart>
    <c:title>
      <c:tx>
        <c:rich>
          <a:bodyPr/>
          <a:lstStyle/>
          <a:p>
            <a:pPr>
              <a:defRPr sz="1000"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1000">
                <a:latin typeface="Verdana" pitchFamily="34" charset="0"/>
                <a:ea typeface="Verdana" pitchFamily="34" charset="0"/>
                <a:cs typeface="Verdana" pitchFamily="34" charset="0"/>
              </a:rPr>
              <a:t>Project</a:t>
            </a:r>
            <a:r>
              <a:rPr lang="en-US" sz="1000" baseline="0">
                <a:latin typeface="Verdana" pitchFamily="34" charset="0"/>
                <a:ea typeface="Verdana" pitchFamily="34" charset="0"/>
                <a:cs typeface="Verdana" pitchFamily="34" charset="0"/>
              </a:rPr>
              <a:t> Completion Status</a:t>
            </a:r>
            <a:endParaRPr lang="en-US" sz="1000"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'Deployment Metrics'!$B$6</c:f>
              <c:strCache>
                <c:ptCount val="1"/>
                <c:pt idx="0">
                  <c:v>Percentage Complete</c:v>
                </c:pt>
              </c:strCache>
            </c:strRef>
          </c:tx>
          <c:cat>
            <c:numRef>
              <c:f>'Deployment Metrics'!$A$6</c:f>
              <c:numCache>
                <c:formatCode>0.00%</c:formatCode>
                <c:ptCount val="1"/>
                <c:pt idx="0">
                  <c:v>0</c:v>
                </c:pt>
              </c:numCache>
            </c:numRef>
          </c:cat>
          <c:val>
            <c:numRef>
              <c:f>'Deployment Metrics'!$A$6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axId val="137882624"/>
        <c:axId val="143274752"/>
      </c:barChart>
      <c:catAx>
        <c:axId val="137882624"/>
        <c:scaling>
          <c:orientation val="minMax"/>
        </c:scaling>
        <c:delete val="1"/>
        <c:axPos val="l"/>
        <c:numFmt formatCode="0.00%" sourceLinked="1"/>
        <c:tickLblPos val="none"/>
        <c:crossAx val="143274752"/>
        <c:crosses val="autoZero"/>
        <c:auto val="1"/>
        <c:lblAlgn val="ctr"/>
        <c:lblOffset val="100"/>
      </c:catAx>
      <c:valAx>
        <c:axId val="143274752"/>
        <c:scaling>
          <c:orientation val="minMax"/>
          <c:max val="1"/>
          <c:min val="0"/>
        </c:scaling>
        <c:axPos val="b"/>
        <c:majorGridlines/>
        <c:numFmt formatCode="0.00%" sourceLinked="1"/>
        <c:tickLblPos val="nextTo"/>
        <c:crossAx val="137882624"/>
        <c:crosses val="autoZero"/>
        <c:crossBetween val="between"/>
      </c:valAx>
    </c:plotArea>
    <c:plotVisOnly val="1"/>
    <c:dispBlanksAs val="gap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28575">
      <a:solidFill>
        <a:schemeClr val="bg1"/>
      </a:solidFill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5"/>
  <c:chart>
    <c:title>
      <c:layout>
        <c:manualLayout>
          <c:xMode val="edge"/>
          <c:yMode val="edge"/>
          <c:x val="0.11661877394636019"/>
          <c:y val="1.5581524763494911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strRef>
              <c:f>'Deployment Metrics'!$B$7</c:f>
              <c:strCache>
                <c:ptCount val="1"/>
                <c:pt idx="0">
                  <c:v>Avg. Time of Completion</c:v>
                </c:pt>
              </c:strCache>
            </c:strRef>
          </c:tx>
          <c:dPt>
            <c:idx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numRef>
              <c:f>'Deployment Metrics'!$A$7</c:f>
              <c:numCache>
                <c:formatCode>hh:mm:ss</c:formatCode>
                <c:ptCount val="1"/>
                <c:pt idx="0">
                  <c:v>0</c:v>
                </c:pt>
              </c:numCache>
            </c:numRef>
          </c:cat>
          <c:val>
            <c:numRef>
              <c:f>'Deployment Metrics'!$A$65515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axId val="143285248"/>
        <c:axId val="143307520"/>
      </c:barChart>
      <c:catAx>
        <c:axId val="143285248"/>
        <c:scaling>
          <c:orientation val="minMax"/>
        </c:scaling>
        <c:delete val="1"/>
        <c:axPos val="b"/>
        <c:numFmt formatCode="hh:mm:ss" sourceLinked="1"/>
        <c:tickLblPos val="none"/>
        <c:crossAx val="143307520"/>
        <c:crosses val="autoZero"/>
        <c:auto val="1"/>
        <c:lblAlgn val="ctr"/>
        <c:lblOffset val="100"/>
      </c:catAx>
      <c:valAx>
        <c:axId val="143307520"/>
        <c:scaling>
          <c:orientation val="minMax"/>
          <c:max val="2"/>
          <c:min val="0"/>
        </c:scaling>
        <c:axPos val="l"/>
        <c:majorGridlines/>
        <c:numFmt formatCode="General" sourceLinked="0"/>
        <c:tickLblPos val="nextTo"/>
        <c:crossAx val="143285248"/>
        <c:crosses val="autoZero"/>
        <c:crossBetween val="between"/>
        <c:majorUnit val="0.5"/>
        <c:minorUnit val="0.1"/>
      </c:valAx>
      <c:spPr>
        <a:gradFill flip="none" rotWithShape="1">
          <a:gsLst>
            <a:gs pos="0">
              <a:srgbClr val="C0504D">
                <a:lumMod val="75000"/>
              </a:srgbClr>
            </a:gs>
            <a:gs pos="50000">
              <a:srgbClr val="9BBB59">
                <a:lumMod val="75000"/>
              </a:srgbClr>
            </a:gs>
          </a:gsLst>
          <a:lin ang="5400000" scaled="1"/>
          <a:tileRect/>
        </a:gradFill>
      </c:spPr>
    </c:plotArea>
    <c:plotVisOnly val="1"/>
    <c:dispBlanksAs val="gap"/>
  </c:chart>
  <c:spPr>
    <a:ln w="28575">
      <a:solidFill>
        <a:schemeClr val="bg1"/>
      </a:solidFill>
    </a:ln>
  </c:sp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8"/>
  <c:chart>
    <c:title/>
    <c:view3D>
      <c:rotY val="12"/>
      <c:depthPercent val="100"/>
      <c:perspective val="30"/>
    </c:view3D>
    <c:floor>
      <c:spPr>
        <a:solidFill>
          <a:sysClr val="window" lastClr="FFFFFF"/>
        </a:solidFill>
      </c:spPr>
    </c:floor>
    <c:sideWall>
      <c:spPr>
        <a:solidFill>
          <a:sysClr val="window" lastClr="FFFFFF"/>
        </a:solidFill>
      </c:spPr>
    </c:sideWall>
    <c:backWall>
      <c:spPr>
        <a:solidFill>
          <a:sysClr val="window" lastClr="FFFFFF"/>
        </a:solidFill>
      </c:spPr>
    </c:backWall>
    <c:plotArea>
      <c:layout/>
      <c:bar3DChart>
        <c:barDir val="col"/>
        <c:grouping val="clustered"/>
        <c:ser>
          <c:idx val="0"/>
          <c:order val="0"/>
          <c:tx>
            <c:strRef>
              <c:f>'Deployment Inspect. Failures'!$B$3:$D$3</c:f>
              <c:strCache>
                <c:ptCount val="1"/>
                <c:pt idx="0">
                  <c:v>Inspection Failures</c:v>
                </c:pt>
              </c:strCache>
            </c:strRef>
          </c:tx>
          <c:cat>
            <c:strRef>
              <c:f>'Inspection Failures'!$B$4:$D$28</c:f>
              <c:strCache>
                <c:ptCount val="25"/>
                <c:pt idx="0">
                  <c:v>Does Not Power Up</c:v>
                </c:pt>
                <c:pt idx="1">
                  <c:v>Cracked Case</c:v>
                </c:pt>
                <c:pt idx="2">
                  <c:v>Broken Display</c:v>
                </c:pt>
                <c:pt idx="3">
                  <c:v>Bad Antenna</c:v>
                </c:pt>
                <c:pt idx="4">
                  <c:v>Missing Volume Knob</c:v>
                </c:pt>
                <c:pt idx="5">
                  <c:v>Missing Channel Knob</c:v>
                </c:pt>
                <c:pt idx="6">
                  <c:v>Missing ABC Switch</c:v>
                </c:pt>
                <c:pt idx="7">
                  <c:v>SMA Stripped</c:v>
                </c:pt>
                <c:pt idx="8">
                  <c:v>Bad UDC</c:v>
                </c:pt>
                <c:pt idx="9">
                  <c:v>Chassis Broken</c:v>
                </c:pt>
                <c:pt idx="10">
                  <c:v>Volume Knob Bent</c:v>
                </c:pt>
                <c:pt idx="11">
                  <c:v>Channel Knob Bent</c:v>
                </c:pt>
                <c:pt idx="12">
                  <c:v>Bad PTT</c:v>
                </c:pt>
                <c:pt idx="13">
                  <c:v>Button Rubber Ripped or Missing</c:v>
                </c:pt>
                <c:pt idx="14">
                  <c:v>Broken SMA Connector</c:v>
                </c:pt>
                <c:pt idx="15">
                  <c:v>Broken Selector Ring</c:v>
                </c:pt>
                <c:pt idx="16">
                  <c:v>Broken Volume Knob</c:v>
                </c:pt>
                <c:pt idx="17">
                  <c:v>Broken Channel Knob</c:v>
                </c:pt>
                <c:pt idx="18">
                  <c:v>Broken ABC Switch</c:v>
                </c:pt>
                <c:pt idx="19">
                  <c:v>Missing Selector Ring</c:v>
                </c:pt>
                <c:pt idx="20">
                  <c:v>Liquid Damage</c:v>
                </c:pt>
                <c:pt idx="21">
                  <c:v>No Audio</c:v>
                </c:pt>
                <c:pt idx="22">
                  <c:v>DSP Fail</c:v>
                </c:pt>
                <c:pt idx="23">
                  <c:v>Out Of Range</c:v>
                </c:pt>
                <c:pt idx="24">
                  <c:v>Could Not Upgrade</c:v>
                </c:pt>
              </c:strCache>
            </c:strRef>
          </c:cat>
          <c:val>
            <c:numRef>
              <c:f>'Deployment Inspect. Failures'!$A$4:$A$28</c:f>
              <c:numCache>
                <c:formatCode>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hape val="box"/>
        <c:axId val="143362688"/>
        <c:axId val="143368576"/>
        <c:axId val="0"/>
      </c:bar3DChart>
      <c:catAx>
        <c:axId val="143362688"/>
        <c:scaling>
          <c:orientation val="minMax"/>
        </c:scaling>
        <c:axPos val="b"/>
        <c:numFmt formatCode="General" sourceLinked="1"/>
        <c:tickLblPos val="nextTo"/>
        <c:crossAx val="143368576"/>
        <c:crosses val="autoZero"/>
        <c:lblAlgn val="ctr"/>
        <c:lblOffset val="100"/>
      </c:catAx>
      <c:valAx>
        <c:axId val="143368576"/>
        <c:scaling>
          <c:orientation val="minMax"/>
          <c:min val="0"/>
        </c:scaling>
        <c:axPos val="l"/>
        <c:majorGridlines>
          <c:spPr>
            <a:ln w="9525" cap="flat" cmpd="sng" algn="ctr">
              <a:solidFill>
                <a:schemeClr val="dk1">
                  <a:shade val="95000"/>
                  <a:satMod val="105000"/>
                </a:schemeClr>
              </a:solidFill>
              <a:prstDash val="solid"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shade val="95000"/>
                  <a:satMod val="105000"/>
                </a:schemeClr>
              </a:solidFill>
              <a:prstDash val="solid"/>
            </a:ln>
            <a:effectLst/>
          </c:spPr>
        </c:minorGridlines>
        <c:numFmt formatCode="0" sourceLinked="1"/>
        <c:tickLblPos val="nextTo"/>
        <c:crossAx val="143362688"/>
        <c:crosses val="autoZero"/>
        <c:crossBetween val="between"/>
        <c:majorUnit val="4"/>
        <c:minorUnit val="2"/>
      </c:valAx>
      <c:spPr>
        <a:gradFill rotWithShape="1">
          <a:gsLst>
            <a:gs pos="0">
              <a:schemeClr val="dk1">
                <a:shade val="51000"/>
                <a:satMod val="130000"/>
              </a:schemeClr>
            </a:gs>
            <a:gs pos="80000">
              <a:schemeClr val="dk1">
                <a:shade val="93000"/>
                <a:satMod val="130000"/>
              </a:schemeClr>
            </a:gs>
            <a:gs pos="100000">
              <a:schemeClr val="dk1">
                <a:shade val="94000"/>
                <a:satMod val="135000"/>
              </a:schemeClr>
            </a:gs>
          </a:gsLst>
          <a:lin ang="16200000" scaled="0"/>
        </a:gradFill>
        <a:ln w="9525" cap="flat" cmpd="sng" algn="ctr">
          <a:solidFill>
            <a:schemeClr val="dk1">
              <a:shade val="95000"/>
              <a:satMod val="105000"/>
            </a:scheme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c:spPr>
    </c:plotArea>
    <c:plotVisOnly val="1"/>
    <c:dispBlanksAs val="gap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3000" dir="5400000" rotWithShape="0">
        <a:srgbClr val="000000">
          <a:alpha val="35000"/>
        </a:srgb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8"/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000"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1000">
                <a:latin typeface="Verdana" pitchFamily="34" charset="0"/>
                <a:ea typeface="Verdana" pitchFamily="34" charset="0"/>
                <a:cs typeface="Verdana" pitchFamily="34" charset="0"/>
              </a:rPr>
              <a:t>Project</a:t>
            </a:r>
            <a:r>
              <a:rPr lang="en-US" sz="1000" baseline="0">
                <a:latin typeface="Verdana" pitchFamily="34" charset="0"/>
                <a:ea typeface="Verdana" pitchFamily="34" charset="0"/>
                <a:cs typeface="Verdana" pitchFamily="34" charset="0"/>
              </a:rPr>
              <a:t> Completion Status</a:t>
            </a:r>
            <a:endParaRPr lang="en-US" sz="1000"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'Deployment Metrics'!$B$6</c:f>
              <c:strCache>
                <c:ptCount val="1"/>
                <c:pt idx="0">
                  <c:v>Percentage Complete</c:v>
                </c:pt>
              </c:strCache>
            </c:strRef>
          </c:tx>
          <c:cat>
            <c:numRef>
              <c:f>'Deployment Metrics'!$A$6</c:f>
              <c:numCache>
                <c:formatCode>0.00%</c:formatCode>
                <c:ptCount val="1"/>
                <c:pt idx="0">
                  <c:v>0</c:v>
                </c:pt>
              </c:numCache>
            </c:numRef>
          </c:cat>
          <c:val>
            <c:numRef>
              <c:f>'Deployment Metrics'!$A$6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axId val="143392128"/>
        <c:axId val="143475840"/>
      </c:barChart>
      <c:catAx>
        <c:axId val="143392128"/>
        <c:scaling>
          <c:orientation val="minMax"/>
        </c:scaling>
        <c:delete val="1"/>
        <c:axPos val="l"/>
        <c:numFmt formatCode="0.00%" sourceLinked="1"/>
        <c:tickLblPos val="none"/>
        <c:crossAx val="143475840"/>
        <c:crosses val="autoZero"/>
        <c:auto val="1"/>
        <c:lblAlgn val="ctr"/>
        <c:lblOffset val="100"/>
      </c:catAx>
      <c:valAx>
        <c:axId val="143475840"/>
        <c:scaling>
          <c:orientation val="minMax"/>
          <c:max val="1"/>
          <c:min val="0"/>
        </c:scaling>
        <c:axPos val="b"/>
        <c:majorGridlines/>
        <c:numFmt formatCode="0.00%" sourceLinked="1"/>
        <c:tickLblPos val="nextTo"/>
        <c:crossAx val="143392128"/>
        <c:crosses val="autoZero"/>
        <c:crossBetween val="between"/>
      </c:valAx>
    </c:plotArea>
    <c:plotVisOnly val="1"/>
    <c:dispBlanksAs val="gap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28575">
      <a:solidFill>
        <a:schemeClr val="bg1"/>
      </a:solidFill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5"/>
  <c:chart>
    <c:title>
      <c:layout>
        <c:manualLayout>
          <c:xMode val="edge"/>
          <c:yMode val="edge"/>
          <c:x val="0.11661877394636019"/>
          <c:y val="1.5581524763494918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strRef>
              <c:f>'Deployment Metrics'!$B$7</c:f>
              <c:strCache>
                <c:ptCount val="1"/>
                <c:pt idx="0">
                  <c:v>Avg. Time of Completion</c:v>
                </c:pt>
              </c:strCache>
            </c:strRef>
          </c:tx>
          <c:dPt>
            <c:idx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numRef>
              <c:f>'Deployment Metrics'!$A$7</c:f>
              <c:numCache>
                <c:formatCode>hh:mm:ss</c:formatCode>
                <c:ptCount val="1"/>
                <c:pt idx="0">
                  <c:v>0</c:v>
                </c:pt>
              </c:numCache>
            </c:numRef>
          </c:cat>
          <c:val>
            <c:numRef>
              <c:f>'Deployment Metrics'!$A$65515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axId val="143482240"/>
        <c:axId val="143500416"/>
      </c:barChart>
      <c:catAx>
        <c:axId val="143482240"/>
        <c:scaling>
          <c:orientation val="minMax"/>
        </c:scaling>
        <c:delete val="1"/>
        <c:axPos val="b"/>
        <c:numFmt formatCode="hh:mm:ss" sourceLinked="1"/>
        <c:tickLblPos val="none"/>
        <c:crossAx val="143500416"/>
        <c:crosses val="autoZero"/>
        <c:auto val="1"/>
        <c:lblAlgn val="ctr"/>
        <c:lblOffset val="100"/>
      </c:catAx>
      <c:valAx>
        <c:axId val="143500416"/>
        <c:scaling>
          <c:orientation val="minMax"/>
          <c:max val="2"/>
          <c:min val="0"/>
        </c:scaling>
        <c:axPos val="l"/>
        <c:majorGridlines/>
        <c:numFmt formatCode="General" sourceLinked="0"/>
        <c:tickLblPos val="nextTo"/>
        <c:crossAx val="143482240"/>
        <c:crosses val="autoZero"/>
        <c:crossBetween val="between"/>
        <c:majorUnit val="0.5"/>
        <c:minorUnit val="0.1"/>
      </c:valAx>
      <c:spPr>
        <a:gradFill flip="none" rotWithShape="1">
          <a:gsLst>
            <a:gs pos="0">
              <a:srgbClr val="C0504D">
                <a:lumMod val="75000"/>
              </a:srgbClr>
            </a:gs>
            <a:gs pos="50000">
              <a:srgbClr val="9BBB59">
                <a:lumMod val="75000"/>
              </a:srgbClr>
            </a:gs>
          </a:gsLst>
          <a:lin ang="5400000" scaled="1"/>
          <a:tileRect/>
        </a:gradFill>
      </c:spPr>
    </c:plotArea>
    <c:plotVisOnly val="1"/>
    <c:dispBlanksAs val="gap"/>
  </c:chart>
  <c:spPr>
    <a:ln w="28575">
      <a:solidFill>
        <a:schemeClr val="bg1"/>
      </a:solidFill>
    </a:ln>
  </c:sp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8"/>
  <c:chart>
    <c:title/>
    <c:view3D>
      <c:rotY val="12"/>
      <c:depthPercent val="100"/>
      <c:perspective val="30"/>
    </c:view3D>
    <c:floor>
      <c:spPr>
        <a:solidFill>
          <a:sysClr val="window" lastClr="FFFFFF"/>
        </a:solidFill>
      </c:spPr>
    </c:floor>
    <c:sideWall>
      <c:spPr>
        <a:solidFill>
          <a:sysClr val="window" lastClr="FFFFFF"/>
        </a:solidFill>
      </c:spPr>
    </c:sideWall>
    <c:backWall>
      <c:spPr>
        <a:solidFill>
          <a:sysClr val="window" lastClr="FFFFFF"/>
        </a:solidFill>
      </c:spPr>
    </c:backWall>
    <c:plotArea>
      <c:layout/>
      <c:bar3DChart>
        <c:barDir val="col"/>
        <c:grouping val="clustered"/>
        <c:ser>
          <c:idx val="0"/>
          <c:order val="0"/>
          <c:tx>
            <c:strRef>
              <c:f>'Deploy. Chan. Test Failures'!$B$3:$D$3</c:f>
              <c:strCache>
                <c:ptCount val="1"/>
                <c:pt idx="0">
                  <c:v>Channel Test Mode Failures</c:v>
                </c:pt>
              </c:strCache>
            </c:strRef>
          </c:tx>
          <c:cat>
            <c:multiLvlStrRef>
              <c:f>'Deploy. Chan. Test Failures'!$B$4:$D$50</c:f>
              <c:multiLvlStrCache>
                <c:ptCount val="47"/>
                <c:lvl>
                  <c:pt idx="0">
                    <c:v>Side Button 1 Bad</c:v>
                  </c:pt>
                  <c:pt idx="1">
                    <c:v>Side Button 2 Bad</c:v>
                  </c:pt>
                  <c:pt idx="2">
                    <c:v>Side Button 3 Bad</c:v>
                  </c:pt>
                  <c:pt idx="3">
                    <c:v>PTT Bad</c:v>
                  </c:pt>
                  <c:pt idx="4">
                    <c:v>F1 Bad</c:v>
                  </c:pt>
                  <c:pt idx="5">
                    <c:v>F2 Bad</c:v>
                  </c:pt>
                  <c:pt idx="6">
                    <c:v>F3 Bad</c:v>
                  </c:pt>
                  <c:pt idx="7">
                    <c:v>F4 Bad</c:v>
                  </c:pt>
                  <c:pt idx="8">
                    <c:v>F4 Bad</c:v>
                  </c:pt>
                  <c:pt idx="12">
                    <c:v>Up Rocker Bad</c:v>
                  </c:pt>
                  <c:pt idx="13">
                    <c:v>Down Rocker Bad</c:v>
                  </c:pt>
                  <c:pt idx="14">
                    <c:v>Volume Switch Bad</c:v>
                  </c:pt>
                  <c:pt idx="15">
                    <c:v>Emergency Button Bad</c:v>
                  </c:pt>
                  <c:pt idx="16">
                    <c:v>Keypad 1 Bad</c:v>
                  </c:pt>
                  <c:pt idx="17">
                    <c:v>Keypad 2 Bad</c:v>
                  </c:pt>
                  <c:pt idx="18">
                    <c:v>Keypad 3 Bad</c:v>
                  </c:pt>
                  <c:pt idx="19">
                    <c:v>Keypad 4 Bad</c:v>
                  </c:pt>
                  <c:pt idx="20">
                    <c:v>Keypad 5 Bad</c:v>
                  </c:pt>
                  <c:pt idx="21">
                    <c:v>Keypad 6 Bad</c:v>
                  </c:pt>
                  <c:pt idx="22">
                    <c:v>Keypad 7 Bad</c:v>
                  </c:pt>
                  <c:pt idx="23">
                    <c:v>Keypad 8 Bad</c:v>
                  </c:pt>
                  <c:pt idx="24">
                    <c:v>Keypad 9 Bad</c:v>
                  </c:pt>
                  <c:pt idx="25">
                    <c:v>Keypad Asterisk Bad</c:v>
                  </c:pt>
                  <c:pt idx="26">
                    <c:v>Keypad 0 Bad</c:v>
                  </c:pt>
                  <c:pt idx="27">
                    <c:v>Keypad Number Sign Bad</c:v>
                  </c:pt>
                </c:lvl>
                <c:lvl>
                  <c:pt idx="0">
                    <c:v>Side Button 1 Bad</c:v>
                  </c:pt>
                  <c:pt idx="1">
                    <c:v>Side Button 2 Bad</c:v>
                  </c:pt>
                  <c:pt idx="2">
                    <c:v>Side Button 3 Bad</c:v>
                  </c:pt>
                  <c:pt idx="3">
                    <c:v>PTT Bad</c:v>
                  </c:pt>
                  <c:pt idx="4">
                    <c:v>F1 Bad</c:v>
                  </c:pt>
                  <c:pt idx="5">
                    <c:v>F2 Bad</c:v>
                  </c:pt>
                  <c:pt idx="6">
                    <c:v>F3 Bad</c:v>
                  </c:pt>
                  <c:pt idx="7">
                    <c:v>F4 Bad</c:v>
                  </c:pt>
                  <c:pt idx="8">
                    <c:v>F4 Bad</c:v>
                  </c:pt>
                  <c:pt idx="12">
                    <c:v>Up Rocker Bad</c:v>
                  </c:pt>
                  <c:pt idx="13">
                    <c:v>Down Rocker Bad</c:v>
                  </c:pt>
                  <c:pt idx="14">
                    <c:v>Volume Switch Bad</c:v>
                  </c:pt>
                  <c:pt idx="15">
                    <c:v>Emergency Button Bad</c:v>
                  </c:pt>
                  <c:pt idx="16">
                    <c:v>Keypad 1 Bad</c:v>
                  </c:pt>
                  <c:pt idx="17">
                    <c:v>Keypad 2 Bad</c:v>
                  </c:pt>
                  <c:pt idx="18">
                    <c:v>Keypad 3 Bad</c:v>
                  </c:pt>
                  <c:pt idx="19">
                    <c:v>Keypad 4 Bad</c:v>
                  </c:pt>
                  <c:pt idx="20">
                    <c:v>Keypad 5 Bad</c:v>
                  </c:pt>
                  <c:pt idx="21">
                    <c:v>Keypad 6 Bad</c:v>
                  </c:pt>
                  <c:pt idx="22">
                    <c:v>Keypad 7 Bad</c:v>
                  </c:pt>
                  <c:pt idx="23">
                    <c:v>Keypad 8 Bad</c:v>
                  </c:pt>
                  <c:pt idx="24">
                    <c:v>Keypad 9 Bad</c:v>
                  </c:pt>
                  <c:pt idx="25">
                    <c:v>Keypad Asterisk Bad</c:v>
                  </c:pt>
                  <c:pt idx="26">
                    <c:v>Keypad 0 Bad</c:v>
                  </c:pt>
                  <c:pt idx="27">
                    <c:v>Keypad Number Sign Bad</c:v>
                  </c:pt>
                </c:lvl>
                <c:lvl>
                  <c:pt idx="0">
                    <c:v>Side Button 1 Bad</c:v>
                  </c:pt>
                  <c:pt idx="1">
                    <c:v>Side Button 2 Bad</c:v>
                  </c:pt>
                  <c:pt idx="2">
                    <c:v>Side Button 3 Bad</c:v>
                  </c:pt>
                  <c:pt idx="3">
                    <c:v>PTT Bad</c:v>
                  </c:pt>
                  <c:pt idx="4">
                    <c:v>F1 Bad</c:v>
                  </c:pt>
                  <c:pt idx="5">
                    <c:v>F2 Bad</c:v>
                  </c:pt>
                  <c:pt idx="6">
                    <c:v>F3 Bad</c:v>
                  </c:pt>
                  <c:pt idx="7">
                    <c:v>F4 Bad</c:v>
                  </c:pt>
                  <c:pt idx="8">
                    <c:v>F5 Bad</c:v>
                  </c:pt>
                  <c:pt idx="9">
                    <c:v>F6 Bad</c:v>
                  </c:pt>
                  <c:pt idx="10">
                    <c:v>Volume Knob Bad</c:v>
                  </c:pt>
                  <c:pt idx="11">
                    <c:v>Channel Selector Bad</c:v>
                  </c:pt>
                  <c:pt idx="12">
                    <c:v>Up Rocker Bad</c:v>
                  </c:pt>
                  <c:pt idx="13">
                    <c:v>Down Rocker Bad</c:v>
                  </c:pt>
                  <c:pt idx="14">
                    <c:v>Volume Switch Bad</c:v>
                  </c:pt>
                  <c:pt idx="15">
                    <c:v>Emergency Button Bad</c:v>
                  </c:pt>
                  <c:pt idx="16">
                    <c:v>Keypad 1 Bad</c:v>
                  </c:pt>
                  <c:pt idx="17">
                    <c:v>Keypad 2 Bad</c:v>
                  </c:pt>
                  <c:pt idx="18">
                    <c:v>Keypad 3 Bad</c:v>
                  </c:pt>
                  <c:pt idx="19">
                    <c:v>Keypad 4 Bad</c:v>
                  </c:pt>
                  <c:pt idx="20">
                    <c:v>Keypad 5 Bad</c:v>
                  </c:pt>
                  <c:pt idx="21">
                    <c:v>Keypad 6 Bad</c:v>
                  </c:pt>
                  <c:pt idx="22">
                    <c:v>Keypad 7 Bad</c:v>
                  </c:pt>
                  <c:pt idx="23">
                    <c:v>Keypad 8 Bad</c:v>
                  </c:pt>
                  <c:pt idx="24">
                    <c:v>Keypad 9 Bad</c:v>
                  </c:pt>
                  <c:pt idx="25">
                    <c:v>Keypad Asterisk Bad</c:v>
                  </c:pt>
                  <c:pt idx="26">
                    <c:v>Keypad 0 Bad</c:v>
                  </c:pt>
                  <c:pt idx="27">
                    <c:v>Keypad Number Sign Bad</c:v>
                  </c:pt>
                  <c:pt idx="28">
                    <c:v>Channel Selector 1 Bad</c:v>
                  </c:pt>
                  <c:pt idx="29">
                    <c:v>Channel Selector 2 Bad</c:v>
                  </c:pt>
                  <c:pt idx="30">
                    <c:v>Channel Selector 3 Bad</c:v>
                  </c:pt>
                  <c:pt idx="31">
                    <c:v>Channel Selector 4 Bad</c:v>
                  </c:pt>
                  <c:pt idx="32">
                    <c:v>Channel Selector 5 Bad</c:v>
                  </c:pt>
                  <c:pt idx="33">
                    <c:v>Channel Selector 6 Bad</c:v>
                  </c:pt>
                  <c:pt idx="34">
                    <c:v>Channel Selector 7 Bad</c:v>
                  </c:pt>
                  <c:pt idx="35">
                    <c:v>Channel Selector 8 Bad</c:v>
                  </c:pt>
                  <c:pt idx="36">
                    <c:v>Channel Selector 9 Bad</c:v>
                  </c:pt>
                  <c:pt idx="37">
                    <c:v>Channel Selector 10 Bad</c:v>
                  </c:pt>
                  <c:pt idx="38">
                    <c:v>Channel Selector 11 Bad</c:v>
                  </c:pt>
                  <c:pt idx="39">
                    <c:v>Channel Selector 12 Bad</c:v>
                  </c:pt>
                  <c:pt idx="40">
                    <c:v>Channel Selector 13 Bad</c:v>
                  </c:pt>
                  <c:pt idx="41">
                    <c:v>Channel Selector 14 Bad</c:v>
                  </c:pt>
                  <c:pt idx="42">
                    <c:v>Channel Selector 15 Bad</c:v>
                  </c:pt>
                  <c:pt idx="43">
                    <c:v>Channel Selector 16 Bad</c:v>
                  </c:pt>
                  <c:pt idx="44">
                    <c:v>ABC Switch A Bad</c:v>
                  </c:pt>
                  <c:pt idx="45">
                    <c:v>ABC Switch B Bad</c:v>
                  </c:pt>
                  <c:pt idx="46">
                    <c:v>ABC Switch C Bad</c:v>
                  </c:pt>
                </c:lvl>
              </c:multiLvlStrCache>
            </c:multiLvlStrRef>
          </c:cat>
          <c:val>
            <c:numRef>
              <c:f>'Deploy. Chan. Test Failures'!$A$4:$A$50</c:f>
              <c:numCache>
                <c:formatCode>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</c:ser>
        <c:shape val="box"/>
        <c:axId val="143602816"/>
        <c:axId val="143604352"/>
        <c:axId val="0"/>
      </c:bar3DChart>
      <c:catAx>
        <c:axId val="143602816"/>
        <c:scaling>
          <c:orientation val="minMax"/>
        </c:scaling>
        <c:axPos val="b"/>
        <c:numFmt formatCode="General" sourceLinked="1"/>
        <c:majorTickMark val="cross"/>
        <c:tickLblPos val="none"/>
        <c:txPr>
          <a:bodyPr rot="-2700000" vert="horz" anchor="t" anchorCtr="0"/>
          <a:lstStyle/>
          <a:p>
            <a:pPr>
              <a:defRPr sz="800"/>
            </a:pPr>
            <a:endParaRPr lang="en-US"/>
          </a:p>
        </c:txPr>
        <c:crossAx val="143604352"/>
        <c:crosses val="autoZero"/>
        <c:auto val="1"/>
        <c:lblAlgn val="ctr"/>
        <c:lblOffset val="5"/>
      </c:catAx>
      <c:valAx>
        <c:axId val="143604352"/>
        <c:scaling>
          <c:orientation val="minMax"/>
          <c:min val="0"/>
        </c:scaling>
        <c:axPos val="l"/>
        <c:majorGridlines>
          <c:spPr>
            <a:ln w="9525" cap="flat" cmpd="sng" algn="ctr">
              <a:solidFill>
                <a:schemeClr val="dk1">
                  <a:shade val="95000"/>
                  <a:satMod val="105000"/>
                </a:schemeClr>
              </a:solidFill>
              <a:prstDash val="solid"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shade val="95000"/>
                  <a:satMod val="105000"/>
                </a:schemeClr>
              </a:solidFill>
              <a:prstDash val="solid"/>
            </a:ln>
            <a:effectLst/>
          </c:spPr>
        </c:minorGridlines>
        <c:numFmt formatCode="0" sourceLinked="1"/>
        <c:tickLblPos val="nextTo"/>
        <c:crossAx val="143602816"/>
        <c:crosses val="autoZero"/>
        <c:crossBetween val="between"/>
        <c:majorUnit val="4"/>
        <c:minorUnit val="2"/>
      </c:valAx>
      <c:spPr>
        <a:gradFill rotWithShape="1">
          <a:gsLst>
            <a:gs pos="0">
              <a:schemeClr val="dk1">
                <a:shade val="51000"/>
                <a:satMod val="130000"/>
              </a:schemeClr>
            </a:gs>
            <a:gs pos="80000">
              <a:schemeClr val="dk1">
                <a:shade val="93000"/>
                <a:satMod val="130000"/>
              </a:schemeClr>
            </a:gs>
            <a:gs pos="100000">
              <a:schemeClr val="dk1">
                <a:shade val="94000"/>
                <a:satMod val="135000"/>
              </a:schemeClr>
            </a:gs>
          </a:gsLst>
          <a:lin ang="16200000" scaled="0"/>
        </a:gradFill>
        <a:ln w="9525" cap="flat" cmpd="sng" algn="ctr">
          <a:solidFill>
            <a:schemeClr val="dk1">
              <a:shade val="95000"/>
              <a:satMod val="105000"/>
            </a:scheme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c:spPr>
    </c:plotArea>
    <c:plotVisOnly val="1"/>
    <c:dispBlanksAs val="gap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3000" dir="5400000" rotWithShape="0">
        <a:srgbClr val="000000">
          <a:alpha val="35000"/>
        </a:srgb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8"/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000"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1000">
                <a:latin typeface="Verdana" pitchFamily="34" charset="0"/>
                <a:ea typeface="Verdana" pitchFamily="34" charset="0"/>
                <a:cs typeface="Verdana" pitchFamily="34" charset="0"/>
              </a:rPr>
              <a:t>Project</a:t>
            </a:r>
            <a:r>
              <a:rPr lang="en-US" sz="1000" baseline="0">
                <a:latin typeface="Verdana" pitchFamily="34" charset="0"/>
                <a:ea typeface="Verdana" pitchFamily="34" charset="0"/>
                <a:cs typeface="Verdana" pitchFamily="34" charset="0"/>
              </a:rPr>
              <a:t> Completion Status</a:t>
            </a:r>
            <a:endParaRPr lang="en-US" sz="1000"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'Deployment Metrics'!$B$6</c:f>
              <c:strCache>
                <c:ptCount val="1"/>
                <c:pt idx="0">
                  <c:v>Percentage Complete</c:v>
                </c:pt>
              </c:strCache>
            </c:strRef>
          </c:tx>
          <c:cat>
            <c:numRef>
              <c:f>'Deployment Metrics'!$A$6</c:f>
              <c:numCache>
                <c:formatCode>0.00%</c:formatCode>
                <c:ptCount val="1"/>
                <c:pt idx="0">
                  <c:v>0</c:v>
                </c:pt>
              </c:numCache>
            </c:numRef>
          </c:cat>
          <c:val>
            <c:numRef>
              <c:f>'Deployment Metrics'!$A$6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axId val="143640448"/>
        <c:axId val="143641984"/>
      </c:barChart>
      <c:catAx>
        <c:axId val="143640448"/>
        <c:scaling>
          <c:orientation val="minMax"/>
        </c:scaling>
        <c:delete val="1"/>
        <c:axPos val="l"/>
        <c:numFmt formatCode="0.00%" sourceLinked="1"/>
        <c:tickLblPos val="none"/>
        <c:crossAx val="143641984"/>
        <c:crosses val="autoZero"/>
        <c:auto val="1"/>
        <c:lblAlgn val="ctr"/>
        <c:lblOffset val="100"/>
      </c:catAx>
      <c:valAx>
        <c:axId val="143641984"/>
        <c:scaling>
          <c:orientation val="minMax"/>
          <c:max val="1"/>
          <c:min val="0"/>
        </c:scaling>
        <c:axPos val="b"/>
        <c:majorGridlines/>
        <c:numFmt formatCode="0.00%" sourceLinked="1"/>
        <c:tickLblPos val="nextTo"/>
        <c:crossAx val="143640448"/>
        <c:crosses val="autoZero"/>
        <c:crossBetween val="between"/>
      </c:valAx>
    </c:plotArea>
    <c:plotVisOnly val="1"/>
    <c:dispBlanksAs val="gap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 w="28575">
      <a:solidFill>
        <a:schemeClr val="bg1"/>
      </a:solidFill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5"/>
  <c:chart>
    <c:title>
      <c:layout>
        <c:manualLayout>
          <c:xMode val="edge"/>
          <c:yMode val="edge"/>
          <c:x val="0.11661877394636019"/>
          <c:y val="1.5581524763494925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strRef>
              <c:f>'Deployment Metrics'!$B$7</c:f>
              <c:strCache>
                <c:ptCount val="1"/>
                <c:pt idx="0">
                  <c:v>Avg. Time of Completion</c:v>
                </c:pt>
              </c:strCache>
            </c:strRef>
          </c:tx>
          <c:dPt>
            <c:idx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numRef>
              <c:f>'Deployment Metrics'!$A$7</c:f>
              <c:numCache>
                <c:formatCode>hh:mm:ss</c:formatCode>
                <c:ptCount val="1"/>
                <c:pt idx="0">
                  <c:v>0</c:v>
                </c:pt>
              </c:numCache>
            </c:numRef>
          </c:cat>
          <c:val>
            <c:numRef>
              <c:f>'Deployment Metrics'!$A$65515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axId val="143681408"/>
        <c:axId val="143682944"/>
      </c:barChart>
      <c:catAx>
        <c:axId val="143681408"/>
        <c:scaling>
          <c:orientation val="minMax"/>
        </c:scaling>
        <c:delete val="1"/>
        <c:axPos val="b"/>
        <c:numFmt formatCode="hh:mm:ss" sourceLinked="1"/>
        <c:tickLblPos val="none"/>
        <c:crossAx val="143682944"/>
        <c:crosses val="autoZero"/>
        <c:auto val="1"/>
        <c:lblAlgn val="ctr"/>
        <c:lblOffset val="100"/>
      </c:catAx>
      <c:valAx>
        <c:axId val="143682944"/>
        <c:scaling>
          <c:orientation val="minMax"/>
          <c:max val="2"/>
          <c:min val="0"/>
        </c:scaling>
        <c:axPos val="l"/>
        <c:majorGridlines/>
        <c:numFmt formatCode="General" sourceLinked="0"/>
        <c:tickLblPos val="nextTo"/>
        <c:crossAx val="143681408"/>
        <c:crosses val="autoZero"/>
        <c:crossBetween val="between"/>
        <c:majorUnit val="0.5"/>
        <c:minorUnit val="0.1"/>
      </c:valAx>
      <c:spPr>
        <a:gradFill flip="none" rotWithShape="1">
          <a:gsLst>
            <a:gs pos="0">
              <a:srgbClr val="C0504D">
                <a:lumMod val="75000"/>
              </a:srgbClr>
            </a:gs>
            <a:gs pos="50000">
              <a:srgbClr val="9BBB59">
                <a:lumMod val="75000"/>
              </a:srgbClr>
            </a:gs>
          </a:gsLst>
          <a:lin ang="5400000" scaled="1"/>
          <a:tileRect/>
        </a:gradFill>
      </c:spPr>
    </c:plotArea>
    <c:plotVisOnly val="1"/>
    <c:dispBlanksAs val="gap"/>
  </c:chart>
  <c:spPr>
    <a:ln w="28575">
      <a:solidFill>
        <a:schemeClr val="bg1"/>
      </a:solidFill>
    </a:ln>
  </c:sp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4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4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1.png"/><Relationship Id="rId1" Type="http://schemas.openxmlformats.org/officeDocument/2006/relationships/chart" Target="../charts/chart13.xml"/><Relationship Id="rId4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.png"/><Relationship Id="rId1" Type="http://schemas.openxmlformats.org/officeDocument/2006/relationships/chart" Target="../charts/chart16.xml"/><Relationship Id="rId4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9.xml"/><Relationship Id="rId4" Type="http://schemas.openxmlformats.org/officeDocument/2006/relationships/chart" Target="../charts/chart2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image" Target="../media/image1.png"/><Relationship Id="rId1" Type="http://schemas.openxmlformats.org/officeDocument/2006/relationships/chart" Target="../charts/chart22.xml"/><Relationship Id="rId4" Type="http://schemas.openxmlformats.org/officeDocument/2006/relationships/chart" Target="../charts/chart24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5.xml"/><Relationship Id="rId4" Type="http://schemas.openxmlformats.org/officeDocument/2006/relationships/chart" Target="../charts/chart27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image" Target="../media/image1.png"/><Relationship Id="rId1" Type="http://schemas.openxmlformats.org/officeDocument/2006/relationships/chart" Target="../charts/chart28.xml"/><Relationship Id="rId4" Type="http://schemas.openxmlformats.org/officeDocument/2006/relationships/chart" Target="../charts/chart30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image" Target="../media/image1.png"/><Relationship Id="rId1" Type="http://schemas.openxmlformats.org/officeDocument/2006/relationships/chart" Target="../charts/chart31.xml"/><Relationship Id="rId4" Type="http://schemas.openxmlformats.org/officeDocument/2006/relationships/chart" Target="../charts/chart3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image" Target="../media/image1.png"/><Relationship Id="rId1" Type="http://schemas.openxmlformats.org/officeDocument/2006/relationships/chart" Target="../charts/chart34.xml"/><Relationship Id="rId4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image" Target="../media/image1.png"/><Relationship Id="rId1" Type="http://schemas.openxmlformats.org/officeDocument/2006/relationships/chart" Target="../charts/chart37.xml"/><Relationship Id="rId4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4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image" Target="../media/image1.png"/><Relationship Id="rId4" Type="http://schemas.openxmlformats.org/officeDocument/2006/relationships/chart" Target="../charts/chart4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image" Target="../media/image1.png"/><Relationship Id="rId4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6</xdr:row>
      <xdr:rowOff>104775</xdr:rowOff>
    </xdr:from>
    <xdr:to>
      <xdr:col>10</xdr:col>
      <xdr:colOff>95250</xdr:colOff>
      <xdr:row>9</xdr:row>
      <xdr:rowOff>57150</xdr:rowOff>
    </xdr:to>
    <xdr:sp macro="[0]!Sheet13.VehicleInspectionTracking" textlink="">
      <xdr:nvSpPr>
        <xdr:cNvPr id="4" name="Bevel 3"/>
        <xdr:cNvSpPr/>
      </xdr:nvSpPr>
      <xdr:spPr>
        <a:xfrm>
          <a:off x="3495675" y="1247775"/>
          <a:ext cx="2695575" cy="533400"/>
        </a:xfrm>
        <a:prstGeom prst="bevel">
          <a:avLst>
            <a:gd name="adj" fmla="val 7738"/>
          </a:avLst>
        </a:prstGeom>
        <a:ln w="6350"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/>
            <a:t>Vehicle</a:t>
          </a:r>
          <a:r>
            <a:rPr lang="en-US" sz="1800" b="1" baseline="0"/>
            <a:t> Inspection</a:t>
          </a:r>
          <a:endParaRPr lang="en-US" sz="1800" b="1"/>
        </a:p>
      </xdr:txBody>
    </xdr:sp>
    <xdr:clientData fPrintsWithSheet="0"/>
  </xdr:twoCellAnchor>
  <xdr:twoCellAnchor editAs="absolute">
    <xdr:from>
      <xdr:col>5</xdr:col>
      <xdr:colOff>438150</xdr:colOff>
      <xdr:row>11</xdr:row>
      <xdr:rowOff>114300</xdr:rowOff>
    </xdr:from>
    <xdr:to>
      <xdr:col>10</xdr:col>
      <xdr:colOff>95250</xdr:colOff>
      <xdr:row>14</xdr:row>
      <xdr:rowOff>76200</xdr:rowOff>
    </xdr:to>
    <xdr:sp macro="[0]!Sheet13.SerialNumberTracking" textlink="">
      <xdr:nvSpPr>
        <xdr:cNvPr id="5" name="Bevel 4"/>
        <xdr:cNvSpPr/>
      </xdr:nvSpPr>
      <xdr:spPr>
        <a:xfrm>
          <a:off x="3486150" y="2219325"/>
          <a:ext cx="2705100" cy="533400"/>
        </a:xfrm>
        <a:prstGeom prst="bevel">
          <a:avLst>
            <a:gd name="adj" fmla="val 7738"/>
          </a:avLst>
        </a:prstGeom>
        <a:ln w="9525"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/>
            <a:t>Serial Number Tracking</a:t>
          </a:r>
        </a:p>
      </xdr:txBody>
    </xdr:sp>
    <xdr:clientData fPrintsWithSheet="0"/>
  </xdr:twoCellAnchor>
  <xdr:twoCellAnchor editAs="oneCell">
    <xdr:from>
      <xdr:col>0</xdr:col>
      <xdr:colOff>295274</xdr:colOff>
      <xdr:row>0</xdr:row>
      <xdr:rowOff>133349</xdr:rowOff>
    </xdr:from>
    <xdr:to>
      <xdr:col>2</xdr:col>
      <xdr:colOff>257175</xdr:colOff>
      <xdr:row>8</xdr:row>
      <xdr:rowOff>73915</xdr:rowOff>
    </xdr:to>
    <xdr:pic>
      <xdr:nvPicPr>
        <xdr:cNvPr id="6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95274" y="133349"/>
          <a:ext cx="1181101" cy="14645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absolute">
    <xdr:from>
      <xdr:col>5</xdr:col>
      <xdr:colOff>428625</xdr:colOff>
      <xdr:row>16</xdr:row>
      <xdr:rowOff>114300</xdr:rowOff>
    </xdr:from>
    <xdr:to>
      <xdr:col>10</xdr:col>
      <xdr:colOff>76200</xdr:colOff>
      <xdr:row>19</xdr:row>
      <xdr:rowOff>76200</xdr:rowOff>
    </xdr:to>
    <xdr:sp macro="[0]!Sheet13.NewRadioDeployment" textlink="">
      <xdr:nvSpPr>
        <xdr:cNvPr id="7" name="Bevel 6"/>
        <xdr:cNvSpPr/>
      </xdr:nvSpPr>
      <xdr:spPr>
        <a:xfrm>
          <a:off x="3476625" y="3171825"/>
          <a:ext cx="2695575" cy="533400"/>
        </a:xfrm>
        <a:prstGeom prst="bevel">
          <a:avLst>
            <a:gd name="adj" fmla="val 7738"/>
          </a:avLst>
        </a:prstGeom>
        <a:solidFill>
          <a:srgbClr val="7030A0"/>
        </a:solidFill>
        <a:ln w="6350">
          <a:solidFill>
            <a:schemeClr val="accent4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/>
            <a:t>New Radio Deployment</a:t>
          </a:r>
        </a:p>
      </xdr:txBody>
    </xdr:sp>
    <xdr:clientData fPrintsWithSheet="0"/>
  </xdr:twoCellAnchor>
  <xdr:twoCellAnchor editAs="absolute">
    <xdr:from>
      <xdr:col>0</xdr:col>
      <xdr:colOff>457200</xdr:colOff>
      <xdr:row>27</xdr:row>
      <xdr:rowOff>28574</xdr:rowOff>
    </xdr:from>
    <xdr:to>
      <xdr:col>2</xdr:col>
      <xdr:colOff>371475</xdr:colOff>
      <xdr:row>29</xdr:row>
      <xdr:rowOff>190499</xdr:rowOff>
    </xdr:to>
    <xdr:sp macro="[0]!Sheet13.Admin" textlink="">
      <xdr:nvSpPr>
        <xdr:cNvPr id="8" name="Bevel 7"/>
        <xdr:cNvSpPr/>
      </xdr:nvSpPr>
      <xdr:spPr>
        <a:xfrm>
          <a:off x="457200" y="5181599"/>
          <a:ext cx="1133475" cy="542925"/>
        </a:xfrm>
        <a:prstGeom prst="bevel">
          <a:avLst>
            <a:gd name="adj" fmla="val 7738"/>
          </a:avLst>
        </a:prstGeom>
        <a:solidFill>
          <a:srgbClr val="8A0000"/>
        </a:solidFill>
        <a:ln w="9525">
          <a:solidFill>
            <a:srgbClr val="992727"/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/>
            <a:t>Admin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704850</xdr:colOff>
      <xdr:row>0</xdr:row>
      <xdr:rowOff>66675</xdr:rowOff>
    </xdr:from>
    <xdr:to>
      <xdr:col>5</xdr:col>
      <xdr:colOff>28575</xdr:colOff>
      <xdr:row>1</xdr:row>
      <xdr:rowOff>228600</xdr:rowOff>
    </xdr:to>
    <xdr:sp macro="[0]!VehicleCheckIN" textlink="">
      <xdr:nvSpPr>
        <xdr:cNvPr id="2" name="Bevel 1"/>
        <xdr:cNvSpPr/>
      </xdr:nvSpPr>
      <xdr:spPr>
        <a:xfrm>
          <a:off x="3800475" y="66675"/>
          <a:ext cx="2600325" cy="533400"/>
        </a:xfrm>
        <a:prstGeom prst="bevel">
          <a:avLst>
            <a:gd name="adj" fmla="val 7738"/>
          </a:avLst>
        </a:prstGeom>
        <a:ln w="6350"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/>
            <a:t>Pre</a:t>
          </a:r>
          <a:r>
            <a:rPr lang="en-US" sz="1800" b="1" baseline="0"/>
            <a:t>-Check</a:t>
          </a:r>
          <a:endParaRPr lang="en-US" sz="1800" b="1"/>
        </a:p>
      </xdr:txBody>
    </xdr:sp>
    <xdr:clientData fPrintsWithSheet="0"/>
  </xdr:twoCellAnchor>
  <xdr:twoCellAnchor editAs="oneCell">
    <xdr:from>
      <xdr:col>0</xdr:col>
      <xdr:colOff>161925</xdr:colOff>
      <xdr:row>0</xdr:row>
      <xdr:rowOff>76200</xdr:rowOff>
    </xdr:from>
    <xdr:to>
      <xdr:col>0</xdr:col>
      <xdr:colOff>638175</xdr:colOff>
      <xdr:row>1</xdr:row>
      <xdr:rowOff>295275</xdr:rowOff>
    </xdr:to>
    <xdr:pic>
      <xdr:nvPicPr>
        <xdr:cNvPr id="4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7620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absolute">
    <xdr:from>
      <xdr:col>5</xdr:col>
      <xdr:colOff>409575</xdr:colOff>
      <xdr:row>0</xdr:row>
      <xdr:rowOff>76200</xdr:rowOff>
    </xdr:from>
    <xdr:to>
      <xdr:col>7</xdr:col>
      <xdr:colOff>647700</xdr:colOff>
      <xdr:row>1</xdr:row>
      <xdr:rowOff>238125</xdr:rowOff>
    </xdr:to>
    <xdr:sp macro="[0]!VehicleInspect" textlink="">
      <xdr:nvSpPr>
        <xdr:cNvPr id="5" name="Bevel 4"/>
        <xdr:cNvSpPr/>
      </xdr:nvSpPr>
      <xdr:spPr>
        <a:xfrm>
          <a:off x="6781800" y="76200"/>
          <a:ext cx="2600325" cy="533400"/>
        </a:xfrm>
        <a:prstGeom prst="bevel">
          <a:avLst>
            <a:gd name="adj" fmla="val 7738"/>
          </a:avLst>
        </a:prstGeom>
        <a:ln w="9525"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/>
            <a:t>Inspection</a:t>
          </a:r>
        </a:p>
      </xdr:txBody>
    </xdr:sp>
    <xdr:clientData fPrintsWithSheet="0"/>
  </xdr:twoCellAnchor>
  <xdr:twoCellAnchor editAs="oneCell">
    <xdr:from>
      <xdr:col>0</xdr:col>
      <xdr:colOff>161925</xdr:colOff>
      <xdr:row>0</xdr:row>
      <xdr:rowOff>76200</xdr:rowOff>
    </xdr:from>
    <xdr:to>
      <xdr:col>0</xdr:col>
      <xdr:colOff>638175</xdr:colOff>
      <xdr:row>1</xdr:row>
      <xdr:rowOff>295275</xdr:rowOff>
    </xdr:to>
    <xdr:pic>
      <xdr:nvPicPr>
        <xdr:cNvPr id="6" name="Picture 5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7620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7</xdr:row>
      <xdr:rowOff>123825</xdr:rowOff>
    </xdr:from>
    <xdr:to>
      <xdr:col>13</xdr:col>
      <xdr:colOff>1048130</xdr:colOff>
      <xdr:row>28</xdr:row>
      <xdr:rowOff>180974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114300</xdr:colOff>
      <xdr:row>2</xdr:row>
      <xdr:rowOff>9525</xdr:rowOff>
    </xdr:from>
    <xdr:to>
      <xdr:col>13</xdr:col>
      <xdr:colOff>1067181</xdr:colOff>
      <xdr:row>8</xdr:row>
      <xdr:rowOff>9525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1047750</xdr:colOff>
      <xdr:row>2</xdr:row>
      <xdr:rowOff>0</xdr:rowOff>
    </xdr:from>
    <xdr:to>
      <xdr:col>14</xdr:col>
      <xdr:colOff>1524381</xdr:colOff>
      <xdr:row>29</xdr:row>
      <xdr:rowOff>9525</xdr:rowOff>
    </xdr:to>
    <xdr:graphicFrame macro="">
      <xdr:nvGraphicFramePr>
        <xdr:cNvPr id="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5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9144000" y="19050"/>
          <a:ext cx="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6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9144000" y="19050"/>
          <a:ext cx="0" cy="171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0</xdr:row>
      <xdr:rowOff>104775</xdr:rowOff>
    </xdr:from>
    <xdr:to>
      <xdr:col>14</xdr:col>
      <xdr:colOff>1381125</xdr:colOff>
      <xdr:row>0</xdr:row>
      <xdr:rowOff>571500</xdr:rowOff>
    </xdr:to>
    <xdr:sp macro="[0]!Complete_Hide" textlink="">
      <xdr:nvSpPr>
        <xdr:cNvPr id="7" name="Bevel 6"/>
        <xdr:cNvSpPr/>
      </xdr:nvSpPr>
      <xdr:spPr>
        <a:xfrm>
          <a:off x="13325475" y="104775"/>
          <a:ext cx="1295400" cy="466725"/>
        </a:xfrm>
        <a:prstGeom prst="bevel">
          <a:avLst/>
        </a:prstGeom>
        <a:solidFill>
          <a:schemeClr val="accent2">
            <a:lumMod val="75000"/>
          </a:schemeClr>
        </a:solidFill>
        <a:ln w="9525">
          <a:solidFill>
            <a:schemeClr val="accent4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ea"/>
              <a:cs typeface="+mn-cs"/>
            </a:rPr>
            <a:t>Hide Report</a:t>
          </a:r>
        </a:p>
      </xdr:txBody>
    </xdr:sp>
    <xdr:clientData fPrintsWithSheet="0"/>
  </xdr:twoCellAnchor>
  <xdr:twoCellAnchor>
    <xdr:from>
      <xdr:col>14</xdr:col>
      <xdr:colOff>76200</xdr:colOff>
      <xdr:row>0</xdr:row>
      <xdr:rowOff>104775</xdr:rowOff>
    </xdr:from>
    <xdr:to>
      <xdr:col>14</xdr:col>
      <xdr:colOff>1371600</xdr:colOff>
      <xdr:row>0</xdr:row>
      <xdr:rowOff>571500</xdr:rowOff>
    </xdr:to>
    <xdr:sp macro="[0]!Complete" textlink="">
      <xdr:nvSpPr>
        <xdr:cNvPr id="6" name="Bevel 5"/>
        <xdr:cNvSpPr/>
      </xdr:nvSpPr>
      <xdr:spPr>
        <a:xfrm>
          <a:off x="13315950" y="104775"/>
          <a:ext cx="1295400" cy="466725"/>
        </a:xfrm>
        <a:prstGeom prst="bevel">
          <a:avLst/>
        </a:prstGeom>
        <a:solidFill>
          <a:schemeClr val="accent4">
            <a:lumMod val="60000"/>
            <a:lumOff val="40000"/>
          </a:schemeClr>
        </a:solidFill>
        <a:ln w="9525">
          <a:solidFill>
            <a:schemeClr val="accent4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sz="1800" b="1">
              <a:solidFill>
                <a:schemeClr val="lt1"/>
              </a:solidFill>
              <a:latin typeface="+mn-lt"/>
              <a:ea typeface="+mn-ea"/>
              <a:cs typeface="+mn-cs"/>
            </a:rPr>
            <a:t>Complete</a:t>
          </a:r>
        </a:p>
      </xdr:txBody>
    </xdr:sp>
    <xdr:clientData fPrintsWithSheet="0"/>
  </xdr:twoCellAnchor>
  <xdr:twoCellAnchor editAs="absolute">
    <xdr:from>
      <xdr:col>6</xdr:col>
      <xdr:colOff>314325</xdr:colOff>
      <xdr:row>0</xdr:row>
      <xdr:rowOff>47625</xdr:rowOff>
    </xdr:from>
    <xdr:to>
      <xdr:col>7</xdr:col>
      <xdr:colOff>1247775</xdr:colOff>
      <xdr:row>0</xdr:row>
      <xdr:rowOff>581025</xdr:rowOff>
    </xdr:to>
    <xdr:sp macro="[0]!Check_IN" textlink="">
      <xdr:nvSpPr>
        <xdr:cNvPr id="2" name="Bevel 1"/>
        <xdr:cNvSpPr/>
      </xdr:nvSpPr>
      <xdr:spPr>
        <a:xfrm>
          <a:off x="6191250" y="47625"/>
          <a:ext cx="1381125" cy="533400"/>
        </a:xfrm>
        <a:prstGeom prst="bevel">
          <a:avLst>
            <a:gd name="adj" fmla="val 7738"/>
          </a:avLst>
        </a:prstGeom>
        <a:ln w="6350"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/>
            <a:t>Check-IN</a:t>
          </a:r>
        </a:p>
      </xdr:txBody>
    </xdr:sp>
    <xdr:clientData fPrintsWithSheet="0"/>
  </xdr:twoCellAnchor>
  <xdr:twoCellAnchor editAs="absolute">
    <xdr:from>
      <xdr:col>9</xdr:col>
      <xdr:colOff>161925</xdr:colOff>
      <xdr:row>0</xdr:row>
      <xdr:rowOff>47625</xdr:rowOff>
    </xdr:from>
    <xdr:to>
      <xdr:col>11</xdr:col>
      <xdr:colOff>28575</xdr:colOff>
      <xdr:row>0</xdr:row>
      <xdr:rowOff>581025</xdr:rowOff>
    </xdr:to>
    <xdr:sp macro="[0]!Check_OUT" textlink="">
      <xdr:nvSpPr>
        <xdr:cNvPr id="3" name="Bevel 2"/>
        <xdr:cNvSpPr/>
      </xdr:nvSpPr>
      <xdr:spPr>
        <a:xfrm>
          <a:off x="8610600" y="47625"/>
          <a:ext cx="1381125" cy="533400"/>
        </a:xfrm>
        <a:prstGeom prst="bevel">
          <a:avLst>
            <a:gd name="adj" fmla="val 7738"/>
          </a:avLst>
        </a:prstGeom>
        <a:ln w="9525"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/>
            <a:t>Check-OUT</a:t>
          </a:r>
        </a:p>
      </xdr:txBody>
    </xdr:sp>
    <xdr:clientData fPrintsWithSheet="0"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9897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104774</xdr:colOff>
      <xdr:row>7</xdr:row>
      <xdr:rowOff>123825</xdr:rowOff>
    </xdr:from>
    <xdr:to>
      <xdr:col>14</xdr:col>
      <xdr:colOff>1010411</xdr:colOff>
      <xdr:row>28</xdr:row>
      <xdr:rowOff>180974</xdr:rowOff>
    </xdr:to>
    <xdr:graphicFrame macro="">
      <xdr:nvGraphicFramePr>
        <xdr:cNvPr id="1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114299</xdr:colOff>
      <xdr:row>2</xdr:row>
      <xdr:rowOff>9525</xdr:rowOff>
    </xdr:from>
    <xdr:to>
      <xdr:col>14</xdr:col>
      <xdr:colOff>1029080</xdr:colOff>
      <xdr:row>8</xdr:row>
      <xdr:rowOff>9525</xdr:rowOff>
    </xdr:to>
    <xdr:graphicFrame macro="">
      <xdr:nvGraphicFramePr>
        <xdr:cNvPr id="1043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1047750</xdr:colOff>
      <xdr:row>2</xdr:row>
      <xdr:rowOff>9525</xdr:rowOff>
    </xdr:from>
    <xdr:to>
      <xdr:col>16</xdr:col>
      <xdr:colOff>581406</xdr:colOff>
      <xdr:row>29</xdr:row>
      <xdr:rowOff>19050</xdr:rowOff>
    </xdr:to>
    <xdr:graphicFrame macro="">
      <xdr:nvGraphicFramePr>
        <xdr:cNvPr id="1043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2390775</xdr:colOff>
      <xdr:row>0</xdr:row>
      <xdr:rowOff>19050</xdr:rowOff>
    </xdr:from>
    <xdr:to>
      <xdr:col>16</xdr:col>
      <xdr:colOff>0</xdr:colOff>
      <xdr:row>0</xdr:row>
      <xdr:rowOff>609600</xdr:rowOff>
    </xdr:to>
    <xdr:pic>
      <xdr:nvPicPr>
        <xdr:cNvPr id="5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161925</xdr:colOff>
      <xdr:row>0</xdr:row>
      <xdr:rowOff>28575</xdr:rowOff>
    </xdr:from>
    <xdr:to>
      <xdr:col>15</xdr:col>
      <xdr:colOff>638175</xdr:colOff>
      <xdr:row>0</xdr:row>
      <xdr:rowOff>619125</xdr:rowOff>
    </xdr:to>
    <xdr:pic>
      <xdr:nvPicPr>
        <xdr:cNvPr id="10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3468350" y="28575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695325</xdr:colOff>
      <xdr:row>0</xdr:row>
      <xdr:rowOff>323850</xdr:rowOff>
    </xdr:from>
    <xdr:to>
      <xdr:col>9</xdr:col>
      <xdr:colOff>590550</xdr:colOff>
      <xdr:row>0</xdr:row>
      <xdr:rowOff>628649</xdr:rowOff>
    </xdr:to>
    <xdr:sp macro="[0]!Show_X" textlink="">
      <xdr:nvSpPr>
        <xdr:cNvPr id="8" name="Bevel 7"/>
        <xdr:cNvSpPr/>
      </xdr:nvSpPr>
      <xdr:spPr>
        <a:xfrm>
          <a:off x="8115300" y="323850"/>
          <a:ext cx="676275" cy="304799"/>
        </a:xfrm>
        <a:prstGeom prst="bevel">
          <a:avLst/>
        </a:prstGeom>
        <a:solidFill>
          <a:srgbClr val="7F7F7F"/>
        </a:solidFill>
        <a:ln w="9525"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9</xdr:col>
      <xdr:colOff>600075</xdr:colOff>
      <xdr:row>0</xdr:row>
      <xdr:rowOff>323850</xdr:rowOff>
    </xdr:from>
    <xdr:to>
      <xdr:col>10</xdr:col>
      <xdr:colOff>495300</xdr:colOff>
      <xdr:row>0</xdr:row>
      <xdr:rowOff>628649</xdr:rowOff>
    </xdr:to>
    <xdr:sp macro="[0]!Show_ES" textlink="">
      <xdr:nvSpPr>
        <xdr:cNvPr id="9" name="Bevel 8"/>
        <xdr:cNvSpPr/>
      </xdr:nvSpPr>
      <xdr:spPr>
        <a:xfrm>
          <a:off x="8801100" y="323850"/>
          <a:ext cx="676275" cy="304799"/>
        </a:xfrm>
        <a:prstGeom prst="bevel">
          <a:avLst/>
        </a:prstGeom>
        <a:solidFill>
          <a:srgbClr val="7F7F7F"/>
        </a:solidFill>
        <a:ln w="9525"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ES </a:t>
          </a:r>
        </a:p>
      </xdr:txBody>
    </xdr:sp>
    <xdr:clientData/>
  </xdr:twoCellAnchor>
  <xdr:twoCellAnchor>
    <xdr:from>
      <xdr:col>8</xdr:col>
      <xdr:colOff>9525</xdr:colOff>
      <xdr:row>0</xdr:row>
      <xdr:rowOff>323850</xdr:rowOff>
    </xdr:from>
    <xdr:to>
      <xdr:col>8</xdr:col>
      <xdr:colOff>685800</xdr:colOff>
      <xdr:row>0</xdr:row>
      <xdr:rowOff>628649</xdr:rowOff>
    </xdr:to>
    <xdr:sp macro="[0]!Show_Ascend" textlink="">
      <xdr:nvSpPr>
        <xdr:cNvPr id="11" name="Bevel 10"/>
        <xdr:cNvSpPr/>
      </xdr:nvSpPr>
      <xdr:spPr>
        <a:xfrm>
          <a:off x="7429500" y="323850"/>
          <a:ext cx="676275" cy="304799"/>
        </a:xfrm>
        <a:prstGeom prst="bevel">
          <a:avLst/>
        </a:prstGeom>
        <a:solidFill>
          <a:srgbClr val="7F7F7F"/>
        </a:solidFill>
        <a:ln w="9525"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Ascend</a:t>
          </a:r>
        </a:p>
      </xdr:txBody>
    </xdr:sp>
    <xdr:clientData/>
  </xdr:twoCellAnchor>
  <xdr:twoCellAnchor>
    <xdr:from>
      <xdr:col>11</xdr:col>
      <xdr:colOff>428624</xdr:colOff>
      <xdr:row>0</xdr:row>
      <xdr:rowOff>323850</xdr:rowOff>
    </xdr:from>
    <xdr:to>
      <xdr:col>12</xdr:col>
      <xdr:colOff>638175</xdr:colOff>
      <xdr:row>0</xdr:row>
      <xdr:rowOff>628649</xdr:rowOff>
    </xdr:to>
    <xdr:sp macro="[0]!Show_All" textlink="">
      <xdr:nvSpPr>
        <xdr:cNvPr id="12" name="Bevel 11"/>
        <xdr:cNvSpPr/>
      </xdr:nvSpPr>
      <xdr:spPr>
        <a:xfrm>
          <a:off x="10144124" y="323850"/>
          <a:ext cx="857251" cy="304799"/>
        </a:xfrm>
        <a:prstGeom prst="bevel">
          <a:avLst/>
        </a:prstGeom>
        <a:solidFill>
          <a:srgbClr val="9BBB59"/>
        </a:solidFill>
        <a:ln w="9525"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Show All</a:t>
          </a:r>
        </a:p>
      </xdr:txBody>
    </xdr:sp>
    <xdr:clientData/>
  </xdr:twoCellAnchor>
  <xdr:twoCellAnchor>
    <xdr:from>
      <xdr:col>10</xdr:col>
      <xdr:colOff>495300</xdr:colOff>
      <xdr:row>0</xdr:row>
      <xdr:rowOff>323850</xdr:rowOff>
    </xdr:from>
    <xdr:to>
      <xdr:col>11</xdr:col>
      <xdr:colOff>438150</xdr:colOff>
      <xdr:row>0</xdr:row>
      <xdr:rowOff>628649</xdr:rowOff>
    </xdr:to>
    <xdr:sp macro="[0]!Show_Viking" textlink="">
      <xdr:nvSpPr>
        <xdr:cNvPr id="13" name="Bevel 12"/>
        <xdr:cNvSpPr/>
      </xdr:nvSpPr>
      <xdr:spPr>
        <a:xfrm>
          <a:off x="9477375" y="323850"/>
          <a:ext cx="676275" cy="304799"/>
        </a:xfrm>
        <a:prstGeom prst="bevel">
          <a:avLst/>
        </a:prstGeom>
        <a:solidFill>
          <a:srgbClr val="953735"/>
        </a:solidFill>
        <a:ln w="9525">
          <a:solidFill>
            <a:srgbClr val="992727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Viking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5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6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7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8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104775</xdr:colOff>
      <xdr:row>7</xdr:row>
      <xdr:rowOff>133350</xdr:rowOff>
    </xdr:from>
    <xdr:to>
      <xdr:col>13</xdr:col>
      <xdr:colOff>1048130</xdr:colOff>
      <xdr:row>28</xdr:row>
      <xdr:rowOff>190499</xdr:rowOff>
    </xdr:to>
    <xdr:graphicFrame macro="">
      <xdr:nvGraphicFramePr>
        <xdr:cNvPr id="1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104775</xdr:colOff>
      <xdr:row>2</xdr:row>
      <xdr:rowOff>19050</xdr:rowOff>
    </xdr:from>
    <xdr:to>
      <xdr:col>13</xdr:col>
      <xdr:colOff>1057656</xdr:colOff>
      <xdr:row>8</xdr:row>
      <xdr:rowOff>19050</xdr:rowOff>
    </xdr:to>
    <xdr:graphicFrame macro="">
      <xdr:nvGraphicFramePr>
        <xdr:cNvPr id="1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18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19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13</xdr:col>
      <xdr:colOff>1028700</xdr:colOff>
      <xdr:row>2</xdr:row>
      <xdr:rowOff>9525</xdr:rowOff>
    </xdr:from>
    <xdr:to>
      <xdr:col>14</xdr:col>
      <xdr:colOff>1505331</xdr:colOff>
      <xdr:row>29</xdr:row>
      <xdr:rowOff>9525</xdr:rowOff>
    </xdr:to>
    <xdr:graphicFrame macro="">
      <xdr:nvGraphicFramePr>
        <xdr:cNvPr id="11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5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6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7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8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114300</xdr:colOff>
      <xdr:row>7</xdr:row>
      <xdr:rowOff>142875</xdr:rowOff>
    </xdr:from>
    <xdr:to>
      <xdr:col>13</xdr:col>
      <xdr:colOff>1057655</xdr:colOff>
      <xdr:row>29</xdr:row>
      <xdr:rowOff>19050</xdr:rowOff>
    </xdr:to>
    <xdr:graphicFrame macro="">
      <xdr:nvGraphicFramePr>
        <xdr:cNvPr id="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2</xdr:row>
      <xdr:rowOff>28575</xdr:rowOff>
    </xdr:from>
    <xdr:to>
      <xdr:col>13</xdr:col>
      <xdr:colOff>1067181</xdr:colOff>
      <xdr:row>8</xdr:row>
      <xdr:rowOff>28575</xdr:rowOff>
    </xdr:to>
    <xdr:graphicFrame macro="">
      <xdr:nvGraphicFramePr>
        <xdr:cNvPr id="1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14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15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13</xdr:col>
      <xdr:colOff>1019175</xdr:colOff>
      <xdr:row>2</xdr:row>
      <xdr:rowOff>38100</xdr:rowOff>
    </xdr:from>
    <xdr:to>
      <xdr:col>14</xdr:col>
      <xdr:colOff>1495806</xdr:colOff>
      <xdr:row>29</xdr:row>
      <xdr:rowOff>47625</xdr:rowOff>
    </xdr:to>
    <xdr:graphicFrame macro="">
      <xdr:nvGraphicFramePr>
        <xdr:cNvPr id="1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7</xdr:row>
      <xdr:rowOff>171451</xdr:rowOff>
    </xdr:from>
    <xdr:to>
      <xdr:col>13</xdr:col>
      <xdr:colOff>1076705</xdr:colOff>
      <xdr:row>28</xdr:row>
      <xdr:rowOff>104775</xdr:rowOff>
    </xdr:to>
    <xdr:graphicFrame macro="">
      <xdr:nvGraphicFramePr>
        <xdr:cNvPr id="5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28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29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30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31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36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37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38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39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50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51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114300</xdr:colOff>
      <xdr:row>2</xdr:row>
      <xdr:rowOff>0</xdr:rowOff>
    </xdr:from>
    <xdr:to>
      <xdr:col>13</xdr:col>
      <xdr:colOff>1067181</xdr:colOff>
      <xdr:row>8</xdr:row>
      <xdr:rowOff>0</xdr:rowOff>
    </xdr:to>
    <xdr:graphicFrame macro="">
      <xdr:nvGraphicFramePr>
        <xdr:cNvPr id="5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1009650</xdr:colOff>
      <xdr:row>2</xdr:row>
      <xdr:rowOff>0</xdr:rowOff>
    </xdr:from>
    <xdr:to>
      <xdr:col>14</xdr:col>
      <xdr:colOff>1486281</xdr:colOff>
      <xdr:row>29</xdr:row>
      <xdr:rowOff>0</xdr:rowOff>
    </xdr:to>
    <xdr:graphicFrame macro="">
      <xdr:nvGraphicFramePr>
        <xdr:cNvPr id="1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7</xdr:row>
      <xdr:rowOff>152401</xdr:rowOff>
    </xdr:from>
    <xdr:to>
      <xdr:col>13</xdr:col>
      <xdr:colOff>1057655</xdr:colOff>
      <xdr:row>28</xdr:row>
      <xdr:rowOff>180976</xdr:rowOff>
    </xdr:to>
    <xdr:graphicFrame macro="">
      <xdr:nvGraphicFramePr>
        <xdr:cNvPr id="1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2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3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4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5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6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7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8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9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123825</xdr:colOff>
      <xdr:row>2</xdr:row>
      <xdr:rowOff>0</xdr:rowOff>
    </xdr:from>
    <xdr:to>
      <xdr:col>13</xdr:col>
      <xdr:colOff>1076706</xdr:colOff>
      <xdr:row>7</xdr:row>
      <xdr:rowOff>180975</xdr:rowOff>
    </xdr:to>
    <xdr:graphicFrame macro="">
      <xdr:nvGraphicFramePr>
        <xdr:cNvPr id="1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15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16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13</xdr:col>
      <xdr:colOff>1076325</xdr:colOff>
      <xdr:row>2</xdr:row>
      <xdr:rowOff>0</xdr:rowOff>
    </xdr:from>
    <xdr:to>
      <xdr:col>14</xdr:col>
      <xdr:colOff>1552956</xdr:colOff>
      <xdr:row>29</xdr:row>
      <xdr:rowOff>0</xdr:rowOff>
    </xdr:to>
    <xdr:graphicFrame macro="">
      <xdr:nvGraphicFramePr>
        <xdr:cNvPr id="17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7</xdr:row>
      <xdr:rowOff>123825</xdr:rowOff>
    </xdr:from>
    <xdr:to>
      <xdr:col>13</xdr:col>
      <xdr:colOff>1057655</xdr:colOff>
      <xdr:row>28</xdr:row>
      <xdr:rowOff>171449</xdr:rowOff>
    </xdr:to>
    <xdr:graphicFrame macro="">
      <xdr:nvGraphicFramePr>
        <xdr:cNvPr id="1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2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3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4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5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6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7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8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9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114300</xdr:colOff>
      <xdr:row>2</xdr:row>
      <xdr:rowOff>0</xdr:rowOff>
    </xdr:from>
    <xdr:to>
      <xdr:col>13</xdr:col>
      <xdr:colOff>1067181</xdr:colOff>
      <xdr:row>7</xdr:row>
      <xdr:rowOff>180975</xdr:rowOff>
    </xdr:to>
    <xdr:graphicFrame macro="">
      <xdr:nvGraphicFramePr>
        <xdr:cNvPr id="1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15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16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13</xdr:col>
      <xdr:colOff>1019175</xdr:colOff>
      <xdr:row>2</xdr:row>
      <xdr:rowOff>0</xdr:rowOff>
    </xdr:from>
    <xdr:to>
      <xdr:col>14</xdr:col>
      <xdr:colOff>1495806</xdr:colOff>
      <xdr:row>29</xdr:row>
      <xdr:rowOff>0</xdr:rowOff>
    </xdr:to>
    <xdr:graphicFrame macro="">
      <xdr:nvGraphicFramePr>
        <xdr:cNvPr id="17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7</xdr:row>
      <xdr:rowOff>123825</xdr:rowOff>
    </xdr:from>
    <xdr:to>
      <xdr:col>13</xdr:col>
      <xdr:colOff>1057655</xdr:colOff>
      <xdr:row>28</xdr:row>
      <xdr:rowOff>171449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3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4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5" name="Picture 4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6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7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8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9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10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114300</xdr:colOff>
      <xdr:row>2</xdr:row>
      <xdr:rowOff>0</xdr:rowOff>
    </xdr:from>
    <xdr:to>
      <xdr:col>13</xdr:col>
      <xdr:colOff>1067181</xdr:colOff>
      <xdr:row>7</xdr:row>
      <xdr:rowOff>180975</xdr:rowOff>
    </xdr:to>
    <xdr:graphicFrame macro="">
      <xdr:nvGraphicFramePr>
        <xdr:cNvPr id="1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13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14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13</xdr:col>
      <xdr:colOff>1019175</xdr:colOff>
      <xdr:row>2</xdr:row>
      <xdr:rowOff>9525</xdr:rowOff>
    </xdr:from>
    <xdr:to>
      <xdr:col>14</xdr:col>
      <xdr:colOff>1495806</xdr:colOff>
      <xdr:row>29</xdr:row>
      <xdr:rowOff>9525</xdr:rowOff>
    </xdr:to>
    <xdr:graphicFrame macro="">
      <xdr:nvGraphicFramePr>
        <xdr:cNvPr id="1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7</xdr:row>
      <xdr:rowOff>123825</xdr:rowOff>
    </xdr:from>
    <xdr:to>
      <xdr:col>13</xdr:col>
      <xdr:colOff>1057655</xdr:colOff>
      <xdr:row>28</xdr:row>
      <xdr:rowOff>171449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3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4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5" name="Picture 4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6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7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8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9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10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114300</xdr:colOff>
      <xdr:row>2</xdr:row>
      <xdr:rowOff>0</xdr:rowOff>
    </xdr:from>
    <xdr:to>
      <xdr:col>13</xdr:col>
      <xdr:colOff>1067181</xdr:colOff>
      <xdr:row>7</xdr:row>
      <xdr:rowOff>180975</xdr:rowOff>
    </xdr:to>
    <xdr:graphicFrame macro="">
      <xdr:nvGraphicFramePr>
        <xdr:cNvPr id="1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12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13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13</xdr:col>
      <xdr:colOff>1019175</xdr:colOff>
      <xdr:row>2</xdr:row>
      <xdr:rowOff>9525</xdr:rowOff>
    </xdr:from>
    <xdr:to>
      <xdr:col>14</xdr:col>
      <xdr:colOff>1495806</xdr:colOff>
      <xdr:row>29</xdr:row>
      <xdr:rowOff>9525</xdr:rowOff>
    </xdr:to>
    <xdr:graphicFrame macro="">
      <xdr:nvGraphicFramePr>
        <xdr:cNvPr id="1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7</xdr:row>
      <xdr:rowOff>114300</xdr:rowOff>
    </xdr:from>
    <xdr:to>
      <xdr:col>13</xdr:col>
      <xdr:colOff>1067180</xdr:colOff>
      <xdr:row>28</xdr:row>
      <xdr:rowOff>171449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3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4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5" name="Picture 4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6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7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8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9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10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114300</xdr:colOff>
      <xdr:row>2</xdr:row>
      <xdr:rowOff>0</xdr:rowOff>
    </xdr:from>
    <xdr:to>
      <xdr:col>13</xdr:col>
      <xdr:colOff>1067181</xdr:colOff>
      <xdr:row>7</xdr:row>
      <xdr:rowOff>180975</xdr:rowOff>
    </xdr:to>
    <xdr:graphicFrame macro="">
      <xdr:nvGraphicFramePr>
        <xdr:cNvPr id="1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13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14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13</xdr:col>
      <xdr:colOff>1076325</xdr:colOff>
      <xdr:row>1</xdr:row>
      <xdr:rowOff>190500</xdr:rowOff>
    </xdr:from>
    <xdr:to>
      <xdr:col>14</xdr:col>
      <xdr:colOff>1552956</xdr:colOff>
      <xdr:row>28</xdr:row>
      <xdr:rowOff>180975</xdr:rowOff>
    </xdr:to>
    <xdr:graphicFrame macro="">
      <xdr:nvGraphicFramePr>
        <xdr:cNvPr id="1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7</xdr:row>
      <xdr:rowOff>114300</xdr:rowOff>
    </xdr:from>
    <xdr:to>
      <xdr:col>13</xdr:col>
      <xdr:colOff>1067180</xdr:colOff>
      <xdr:row>28</xdr:row>
      <xdr:rowOff>171449</xdr:rowOff>
    </xdr:to>
    <xdr:graphicFrame macro="">
      <xdr:nvGraphicFramePr>
        <xdr:cNvPr id="1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2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3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4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5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6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7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8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9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114300</xdr:colOff>
      <xdr:row>2</xdr:row>
      <xdr:rowOff>0</xdr:rowOff>
    </xdr:from>
    <xdr:to>
      <xdr:col>13</xdr:col>
      <xdr:colOff>1067181</xdr:colOff>
      <xdr:row>7</xdr:row>
      <xdr:rowOff>180975</xdr:rowOff>
    </xdr:to>
    <xdr:graphicFrame macro="">
      <xdr:nvGraphicFramePr>
        <xdr:cNvPr id="1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15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16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13</xdr:col>
      <xdr:colOff>1057275</xdr:colOff>
      <xdr:row>1</xdr:row>
      <xdr:rowOff>190500</xdr:rowOff>
    </xdr:from>
    <xdr:to>
      <xdr:col>14</xdr:col>
      <xdr:colOff>1533906</xdr:colOff>
      <xdr:row>28</xdr:row>
      <xdr:rowOff>180975</xdr:rowOff>
    </xdr:to>
    <xdr:graphicFrame macro="">
      <xdr:nvGraphicFramePr>
        <xdr:cNvPr id="17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7</xdr:row>
      <xdr:rowOff>114300</xdr:rowOff>
    </xdr:from>
    <xdr:to>
      <xdr:col>13</xdr:col>
      <xdr:colOff>1067180</xdr:colOff>
      <xdr:row>28</xdr:row>
      <xdr:rowOff>171449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3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4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5" name="Picture 4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6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7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8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9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10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114300</xdr:colOff>
      <xdr:row>2</xdr:row>
      <xdr:rowOff>0</xdr:rowOff>
    </xdr:from>
    <xdr:to>
      <xdr:col>13</xdr:col>
      <xdr:colOff>1067181</xdr:colOff>
      <xdr:row>7</xdr:row>
      <xdr:rowOff>180975</xdr:rowOff>
    </xdr:to>
    <xdr:graphicFrame macro="">
      <xdr:nvGraphicFramePr>
        <xdr:cNvPr id="1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13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14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13</xdr:col>
      <xdr:colOff>1047750</xdr:colOff>
      <xdr:row>2</xdr:row>
      <xdr:rowOff>0</xdr:rowOff>
    </xdr:from>
    <xdr:to>
      <xdr:col>14</xdr:col>
      <xdr:colOff>1524381</xdr:colOff>
      <xdr:row>29</xdr:row>
      <xdr:rowOff>0</xdr:rowOff>
    </xdr:to>
    <xdr:graphicFrame macro="">
      <xdr:nvGraphicFramePr>
        <xdr:cNvPr id="1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7</xdr:row>
      <xdr:rowOff>114300</xdr:rowOff>
    </xdr:from>
    <xdr:to>
      <xdr:col>13</xdr:col>
      <xdr:colOff>1067180</xdr:colOff>
      <xdr:row>28</xdr:row>
      <xdr:rowOff>171449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3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4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5" name="Picture 4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6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7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8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9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10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114300</xdr:colOff>
      <xdr:row>2</xdr:row>
      <xdr:rowOff>0</xdr:rowOff>
    </xdr:from>
    <xdr:to>
      <xdr:col>13</xdr:col>
      <xdr:colOff>1067181</xdr:colOff>
      <xdr:row>7</xdr:row>
      <xdr:rowOff>180975</xdr:rowOff>
    </xdr:to>
    <xdr:graphicFrame macro="">
      <xdr:nvGraphicFramePr>
        <xdr:cNvPr id="1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12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2867025</xdr:colOff>
      <xdr:row>0</xdr:row>
      <xdr:rowOff>609600</xdr:rowOff>
    </xdr:to>
    <xdr:pic>
      <xdr:nvPicPr>
        <xdr:cNvPr id="13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13</xdr:col>
      <xdr:colOff>1047750</xdr:colOff>
      <xdr:row>2</xdr:row>
      <xdr:rowOff>0</xdr:rowOff>
    </xdr:from>
    <xdr:to>
      <xdr:col>14</xdr:col>
      <xdr:colOff>1524381</xdr:colOff>
      <xdr:row>29</xdr:row>
      <xdr:rowOff>0</xdr:rowOff>
    </xdr:to>
    <xdr:graphicFrame macro="">
      <xdr:nvGraphicFramePr>
        <xdr:cNvPr id="1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2390775</xdr:colOff>
      <xdr:row>0</xdr:row>
      <xdr:rowOff>19050</xdr:rowOff>
    </xdr:from>
    <xdr:to>
      <xdr:col>15</xdr:col>
      <xdr:colOff>0</xdr:colOff>
      <xdr:row>0</xdr:row>
      <xdr:rowOff>609600</xdr:rowOff>
    </xdr:to>
    <xdr:pic>
      <xdr:nvPicPr>
        <xdr:cNvPr id="7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73450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absolute">
    <xdr:from>
      <xdr:col>6</xdr:col>
      <xdr:colOff>161925</xdr:colOff>
      <xdr:row>0</xdr:row>
      <xdr:rowOff>57150</xdr:rowOff>
    </xdr:from>
    <xdr:to>
      <xdr:col>9</xdr:col>
      <xdr:colOff>647701</xdr:colOff>
      <xdr:row>0</xdr:row>
      <xdr:rowOff>590550</xdr:rowOff>
    </xdr:to>
    <xdr:sp macro="[0]!RadioDeployment" textlink="">
      <xdr:nvSpPr>
        <xdr:cNvPr id="8" name="Bevel 7"/>
        <xdr:cNvSpPr/>
      </xdr:nvSpPr>
      <xdr:spPr>
        <a:xfrm>
          <a:off x="6362700" y="57150"/>
          <a:ext cx="3057526" cy="533400"/>
        </a:xfrm>
        <a:prstGeom prst="bevel">
          <a:avLst>
            <a:gd name="adj" fmla="val 7738"/>
          </a:avLst>
        </a:prstGeom>
        <a:solidFill>
          <a:srgbClr val="7030A0"/>
        </a:solidFill>
        <a:ln w="6350">
          <a:solidFill>
            <a:schemeClr val="accent4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/>
            <a:t>New</a:t>
          </a:r>
          <a:r>
            <a:rPr lang="en-US" sz="1800" b="1" baseline="0"/>
            <a:t> Radio Deployment</a:t>
          </a:r>
        </a:p>
      </xdr:txBody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104774</xdr:colOff>
      <xdr:row>7</xdr:row>
      <xdr:rowOff>123825</xdr:rowOff>
    </xdr:from>
    <xdr:to>
      <xdr:col>14</xdr:col>
      <xdr:colOff>1010411</xdr:colOff>
      <xdr:row>28</xdr:row>
      <xdr:rowOff>180974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114299</xdr:colOff>
      <xdr:row>2</xdr:row>
      <xdr:rowOff>9525</xdr:rowOff>
    </xdr:from>
    <xdr:to>
      <xdr:col>14</xdr:col>
      <xdr:colOff>1029080</xdr:colOff>
      <xdr:row>8</xdr:row>
      <xdr:rowOff>9525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1047750</xdr:colOff>
      <xdr:row>2</xdr:row>
      <xdr:rowOff>9525</xdr:rowOff>
    </xdr:from>
    <xdr:to>
      <xdr:col>16</xdr:col>
      <xdr:colOff>581406</xdr:colOff>
      <xdr:row>29</xdr:row>
      <xdr:rowOff>19050</xdr:rowOff>
    </xdr:to>
    <xdr:graphicFrame macro="">
      <xdr:nvGraphicFramePr>
        <xdr:cNvPr id="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2390775</xdr:colOff>
      <xdr:row>0</xdr:row>
      <xdr:rowOff>19050</xdr:rowOff>
    </xdr:from>
    <xdr:to>
      <xdr:col>16</xdr:col>
      <xdr:colOff>0</xdr:colOff>
      <xdr:row>0</xdr:row>
      <xdr:rowOff>190500</xdr:rowOff>
    </xdr:to>
    <xdr:pic>
      <xdr:nvPicPr>
        <xdr:cNvPr id="5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41827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161925</xdr:colOff>
      <xdr:row>0</xdr:row>
      <xdr:rowOff>28575</xdr:rowOff>
    </xdr:from>
    <xdr:to>
      <xdr:col>15</xdr:col>
      <xdr:colOff>609600</xdr:colOff>
      <xdr:row>0</xdr:row>
      <xdr:rowOff>504825</xdr:rowOff>
    </xdr:to>
    <xdr:pic>
      <xdr:nvPicPr>
        <xdr:cNvPr id="6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3468350" y="28575"/>
          <a:ext cx="447675" cy="476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2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3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4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5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104775</xdr:colOff>
      <xdr:row>7</xdr:row>
      <xdr:rowOff>133350</xdr:rowOff>
    </xdr:from>
    <xdr:to>
      <xdr:col>13</xdr:col>
      <xdr:colOff>1048130</xdr:colOff>
      <xdr:row>28</xdr:row>
      <xdr:rowOff>190499</xdr:rowOff>
    </xdr:to>
    <xdr:graphicFrame macro="">
      <xdr:nvGraphicFramePr>
        <xdr:cNvPr id="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104775</xdr:colOff>
      <xdr:row>2</xdr:row>
      <xdr:rowOff>19050</xdr:rowOff>
    </xdr:from>
    <xdr:to>
      <xdr:col>13</xdr:col>
      <xdr:colOff>1057656</xdr:colOff>
      <xdr:row>8</xdr:row>
      <xdr:rowOff>19050</xdr:rowOff>
    </xdr:to>
    <xdr:graphicFrame macro="">
      <xdr:nvGraphicFramePr>
        <xdr:cNvPr id="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8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9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13</xdr:col>
      <xdr:colOff>1028700</xdr:colOff>
      <xdr:row>2</xdr:row>
      <xdr:rowOff>9525</xdr:rowOff>
    </xdr:from>
    <xdr:to>
      <xdr:col>14</xdr:col>
      <xdr:colOff>1505331</xdr:colOff>
      <xdr:row>29</xdr:row>
      <xdr:rowOff>9525</xdr:rowOff>
    </xdr:to>
    <xdr:graphicFrame macro="">
      <xdr:nvGraphicFramePr>
        <xdr:cNvPr id="1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2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3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4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5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114300</xdr:colOff>
      <xdr:row>7</xdr:row>
      <xdr:rowOff>142875</xdr:rowOff>
    </xdr:from>
    <xdr:to>
      <xdr:col>13</xdr:col>
      <xdr:colOff>1057655</xdr:colOff>
      <xdr:row>29</xdr:row>
      <xdr:rowOff>19050</xdr:rowOff>
    </xdr:to>
    <xdr:graphicFrame macro="">
      <xdr:nvGraphicFramePr>
        <xdr:cNvPr id="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2</xdr:row>
      <xdr:rowOff>28575</xdr:rowOff>
    </xdr:from>
    <xdr:to>
      <xdr:col>13</xdr:col>
      <xdr:colOff>1067181</xdr:colOff>
      <xdr:row>8</xdr:row>
      <xdr:rowOff>28575</xdr:rowOff>
    </xdr:to>
    <xdr:graphicFrame macro="">
      <xdr:nvGraphicFramePr>
        <xdr:cNvPr id="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8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2390775</xdr:colOff>
      <xdr:row>0</xdr:row>
      <xdr:rowOff>19050</xdr:rowOff>
    </xdr:from>
    <xdr:to>
      <xdr:col>14</xdr:col>
      <xdr:colOff>2390775</xdr:colOff>
      <xdr:row>0</xdr:row>
      <xdr:rowOff>609600</xdr:rowOff>
    </xdr:to>
    <xdr:pic>
      <xdr:nvPicPr>
        <xdr:cNvPr id="9" name="Picture 3" descr="viking head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630525" y="19050"/>
          <a:ext cx="47625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13</xdr:col>
      <xdr:colOff>1019175</xdr:colOff>
      <xdr:row>2</xdr:row>
      <xdr:rowOff>38100</xdr:rowOff>
    </xdr:from>
    <xdr:to>
      <xdr:col>14</xdr:col>
      <xdr:colOff>1495806</xdr:colOff>
      <xdr:row>29</xdr:row>
      <xdr:rowOff>47625</xdr:rowOff>
    </xdr:to>
    <xdr:graphicFrame macro="">
      <xdr:nvGraphicFramePr>
        <xdr:cNvPr id="1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cnp84/Documents/Project/Allen/Master%20Radio%20Upgrade%20Tracking_v2.0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Vehicle Inspection"/>
      <sheetName val="Tracking"/>
      <sheetName val="Vehicle Metrics"/>
      <sheetName val="Metrics"/>
      <sheetName val="Vehicle Inspection Failures"/>
      <sheetName val="Inspection Failures"/>
      <sheetName val="Channel Test Mode Failures"/>
      <sheetName val="NGTS Total Metrics"/>
      <sheetName val="5100X NGTS Metrics"/>
      <sheetName val="5300X NGTS Metrics"/>
      <sheetName val="5100ES NGTS Metrics"/>
      <sheetName val="5300ES NGTS Metrics"/>
    </sheetNames>
    <sheetDataSet>
      <sheetData sheetId="0" refreshError="1"/>
      <sheetData sheetId="1" refreshError="1"/>
      <sheetData sheetId="2">
        <row r="1">
          <cell r="F1">
            <v>0</v>
          </cell>
        </row>
      </sheetData>
      <sheetData sheetId="3" refreshError="1"/>
      <sheetData sheetId="4">
        <row r="4">
          <cell r="A4">
            <v>100</v>
          </cell>
        </row>
      </sheetData>
      <sheetData sheetId="5" refreshError="1"/>
      <sheetData sheetId="6">
        <row r="4">
          <cell r="A4">
            <v>0</v>
          </cell>
        </row>
      </sheetData>
      <sheetData sheetId="7">
        <row r="4">
          <cell r="A4">
            <v>0</v>
          </cell>
        </row>
      </sheetData>
      <sheetData sheetId="8">
        <row r="4">
          <cell r="A4">
            <v>0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3">
    <pageSetUpPr fitToPage="1"/>
  </sheetPr>
  <dimension ref="A1:AH38"/>
  <sheetViews>
    <sheetView showGridLines="0" tabSelected="1" zoomScaleNormal="100" workbookViewId="0">
      <selection activeCell="H26" sqref="H26"/>
    </sheetView>
  </sheetViews>
  <sheetFormatPr defaultRowHeight="15"/>
  <cols>
    <col min="1" max="1" width="9.140625" style="17"/>
    <col min="2" max="2" width="9.140625" style="18"/>
    <col min="3" max="3" width="9.140625" style="17"/>
    <col min="4" max="4" width="9.140625" style="18"/>
    <col min="5" max="5" width="9.140625" style="19"/>
    <col min="6" max="6" width="9.140625" style="57"/>
    <col min="7" max="13" width="9.140625" style="19"/>
    <col min="14" max="14" width="9.140625" style="55"/>
    <col min="15" max="16" width="9.140625" style="19"/>
    <col min="17" max="17" width="9.140625" style="60"/>
    <col min="18" max="16384" width="9.140625" style="19"/>
  </cols>
  <sheetData>
    <row r="1" spans="1:34">
      <c r="A1" s="69"/>
      <c r="B1" s="70"/>
      <c r="C1" s="71"/>
      <c r="D1" s="64"/>
      <c r="E1" s="65"/>
      <c r="F1" s="66"/>
      <c r="G1" s="65"/>
      <c r="H1" s="65"/>
      <c r="I1" s="65"/>
      <c r="J1" s="65"/>
      <c r="K1" s="65"/>
      <c r="L1" s="65"/>
      <c r="M1" s="65"/>
      <c r="N1" s="67"/>
      <c r="O1" s="65"/>
      <c r="P1" s="65"/>
      <c r="Q1" s="68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</row>
    <row r="2" spans="1:34">
      <c r="A2" s="72"/>
      <c r="B2" s="73"/>
      <c r="C2" s="74"/>
      <c r="D2" s="64"/>
      <c r="E2" s="65"/>
      <c r="F2" s="66"/>
      <c r="G2" s="65"/>
      <c r="H2" s="65"/>
      <c r="I2" s="65"/>
      <c r="J2" s="65"/>
      <c r="K2" s="65"/>
      <c r="L2" s="65"/>
      <c r="M2" s="65"/>
      <c r="N2" s="67"/>
      <c r="O2" s="65"/>
      <c r="P2" s="65"/>
      <c r="Q2" s="68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</row>
    <row r="3" spans="1:34">
      <c r="A3" s="72"/>
      <c r="B3" s="73"/>
      <c r="C3" s="74"/>
      <c r="D3" s="64"/>
      <c r="E3" s="65"/>
      <c r="F3" s="66"/>
      <c r="G3" s="65"/>
      <c r="H3" s="65"/>
      <c r="I3" s="65"/>
      <c r="J3" s="65"/>
      <c r="K3" s="65"/>
      <c r="L3" s="65"/>
      <c r="M3" s="65"/>
      <c r="N3" s="67"/>
      <c r="O3" s="65"/>
      <c r="P3" s="65"/>
      <c r="Q3" s="68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</row>
    <row r="4" spans="1:34">
      <c r="A4" s="72"/>
      <c r="B4" s="73"/>
      <c r="C4" s="74"/>
      <c r="D4" s="64"/>
      <c r="E4" s="65"/>
      <c r="F4" s="66"/>
      <c r="G4" s="65"/>
      <c r="H4" s="65"/>
      <c r="I4" s="65"/>
      <c r="J4" s="65"/>
      <c r="K4" s="65"/>
      <c r="L4" s="65"/>
      <c r="M4" s="65"/>
      <c r="N4" s="67"/>
      <c r="O4" s="65"/>
      <c r="P4" s="65"/>
      <c r="Q4" s="68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</row>
    <row r="5" spans="1:34">
      <c r="A5" s="72"/>
      <c r="B5" s="73"/>
      <c r="C5" s="74"/>
      <c r="D5" s="64"/>
      <c r="E5" s="65"/>
      <c r="F5" s="66"/>
      <c r="G5" s="65"/>
      <c r="H5" s="65"/>
      <c r="I5" s="65"/>
      <c r="J5" s="65"/>
      <c r="K5" s="65"/>
      <c r="L5" s="65"/>
      <c r="M5" s="65"/>
      <c r="N5" s="67"/>
      <c r="O5" s="65"/>
      <c r="P5" s="65"/>
      <c r="Q5" s="68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</row>
    <row r="6" spans="1:34">
      <c r="A6" s="72"/>
      <c r="B6" s="73"/>
      <c r="C6" s="74"/>
      <c r="D6" s="64"/>
      <c r="E6" s="65"/>
      <c r="F6" s="66"/>
      <c r="G6" s="65"/>
      <c r="H6" s="65"/>
      <c r="I6" s="65"/>
      <c r="J6" s="65"/>
      <c r="K6" s="65"/>
      <c r="L6" s="65"/>
      <c r="M6" s="65"/>
      <c r="N6" s="67"/>
      <c r="O6" s="65"/>
      <c r="P6" s="65"/>
      <c r="Q6" s="68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</row>
    <row r="7" spans="1:34">
      <c r="A7" s="72"/>
      <c r="B7" s="73"/>
      <c r="C7" s="74"/>
      <c r="D7" s="64"/>
      <c r="E7" s="65"/>
      <c r="F7" s="66"/>
      <c r="G7" s="65"/>
      <c r="H7" s="65"/>
      <c r="I7" s="65"/>
      <c r="J7" s="65"/>
      <c r="K7" s="65"/>
      <c r="L7" s="65"/>
      <c r="M7" s="65"/>
      <c r="N7" s="67"/>
      <c r="O7" s="65"/>
      <c r="P7" s="65"/>
      <c r="Q7" s="68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H7" s="65"/>
    </row>
    <row r="8" spans="1:34">
      <c r="A8" s="72"/>
      <c r="B8" s="73"/>
      <c r="C8" s="74"/>
      <c r="D8" s="64"/>
      <c r="E8" s="65"/>
      <c r="F8" s="66"/>
      <c r="G8" s="65"/>
      <c r="H8" s="65"/>
      <c r="I8" s="65"/>
      <c r="J8" s="65"/>
      <c r="K8" s="65"/>
      <c r="L8" s="65"/>
      <c r="M8" s="65"/>
      <c r="N8" s="67"/>
      <c r="O8" s="65"/>
      <c r="P8" s="65"/>
      <c r="Q8" s="68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</row>
    <row r="9" spans="1:34" ht="15.75" thickBot="1">
      <c r="A9" s="75"/>
      <c r="B9" s="76"/>
      <c r="C9" s="77"/>
      <c r="D9" s="64"/>
      <c r="E9" s="65"/>
      <c r="F9" s="66"/>
      <c r="G9" s="65"/>
      <c r="H9" s="65"/>
      <c r="I9" s="65"/>
      <c r="J9" s="65"/>
      <c r="K9" s="65"/>
      <c r="L9" s="65"/>
      <c r="M9" s="65"/>
      <c r="N9" s="67"/>
      <c r="O9" s="65"/>
      <c r="P9" s="65"/>
      <c r="Q9" s="68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H9" s="65"/>
    </row>
    <row r="10" spans="1:34">
      <c r="A10" s="63"/>
      <c r="B10" s="64"/>
      <c r="C10" s="63"/>
      <c r="D10" s="64"/>
      <c r="E10" s="65"/>
      <c r="F10" s="66"/>
      <c r="G10" s="65"/>
      <c r="H10" s="65"/>
      <c r="I10" s="65"/>
      <c r="J10" s="65"/>
      <c r="K10" s="65"/>
      <c r="L10" s="65"/>
      <c r="M10" s="65"/>
      <c r="N10" s="67"/>
      <c r="O10" s="65"/>
      <c r="P10" s="65"/>
      <c r="Q10" s="68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</row>
    <row r="11" spans="1:34">
      <c r="A11" s="63"/>
      <c r="B11" s="64"/>
      <c r="C11" s="63"/>
      <c r="D11" s="64"/>
      <c r="E11" s="65"/>
      <c r="F11" s="66"/>
      <c r="G11" s="65"/>
      <c r="H11" s="65"/>
      <c r="I11" s="65"/>
      <c r="J11" s="65"/>
      <c r="K11" s="65"/>
      <c r="L11" s="65"/>
      <c r="M11" s="65"/>
      <c r="N11" s="67"/>
      <c r="O11" s="65"/>
      <c r="P11" s="65"/>
      <c r="Q11" s="68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</row>
    <row r="12" spans="1:34">
      <c r="A12" s="63"/>
      <c r="B12" s="64"/>
      <c r="C12" s="63"/>
      <c r="D12" s="64"/>
      <c r="E12" s="65"/>
      <c r="F12" s="66"/>
      <c r="G12" s="65"/>
      <c r="H12" s="65"/>
      <c r="I12" s="65"/>
      <c r="J12" s="65"/>
      <c r="K12" s="65"/>
      <c r="L12" s="65"/>
      <c r="M12" s="65"/>
      <c r="N12" s="67"/>
      <c r="O12" s="65"/>
      <c r="P12" s="65"/>
      <c r="Q12" s="68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</row>
    <row r="13" spans="1:34">
      <c r="A13" s="63"/>
      <c r="B13" s="64"/>
      <c r="C13" s="63"/>
      <c r="D13" s="64"/>
      <c r="E13" s="65"/>
      <c r="F13" s="66"/>
      <c r="G13" s="65"/>
      <c r="H13" s="65"/>
      <c r="I13" s="65"/>
      <c r="J13" s="65"/>
      <c r="K13" s="65"/>
      <c r="L13" s="65"/>
      <c r="M13" s="65"/>
      <c r="N13" s="67"/>
      <c r="O13" s="65"/>
      <c r="P13" s="65"/>
      <c r="Q13" s="68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</row>
    <row r="14" spans="1:34">
      <c r="A14" s="63"/>
      <c r="B14" s="64"/>
      <c r="C14" s="63"/>
      <c r="D14" s="64"/>
      <c r="E14" s="65"/>
      <c r="F14" s="66"/>
      <c r="G14" s="65"/>
      <c r="H14" s="65"/>
      <c r="I14" s="65"/>
      <c r="J14" s="65"/>
      <c r="K14" s="65"/>
      <c r="L14" s="65"/>
      <c r="M14" s="65"/>
      <c r="N14" s="67"/>
      <c r="O14" s="65"/>
      <c r="P14" s="65"/>
      <c r="Q14" s="68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H14" s="65"/>
    </row>
    <row r="15" spans="1:34">
      <c r="A15" s="63"/>
      <c r="B15" s="64"/>
      <c r="C15" s="63"/>
      <c r="D15" s="64"/>
      <c r="E15" s="65"/>
      <c r="F15" s="66"/>
      <c r="G15" s="65"/>
      <c r="H15" s="65"/>
      <c r="I15" s="65"/>
      <c r="J15" s="65"/>
      <c r="K15" s="65"/>
      <c r="L15" s="65"/>
      <c r="M15" s="65"/>
      <c r="N15" s="67"/>
      <c r="O15" s="65"/>
      <c r="P15" s="65"/>
      <c r="Q15" s="68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H15" s="65"/>
    </row>
    <row r="16" spans="1:34">
      <c r="A16" s="63"/>
      <c r="B16" s="64"/>
      <c r="C16" s="63"/>
      <c r="D16" s="64"/>
      <c r="E16" s="65"/>
      <c r="F16" s="66"/>
      <c r="G16" s="65"/>
      <c r="H16" s="65"/>
      <c r="I16" s="65"/>
      <c r="J16" s="65"/>
      <c r="K16" s="65"/>
      <c r="L16" s="65"/>
      <c r="M16" s="65"/>
      <c r="N16" s="67"/>
      <c r="O16" s="65"/>
      <c r="P16" s="65"/>
      <c r="Q16" s="68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</row>
    <row r="17" spans="1:34">
      <c r="A17" s="63"/>
      <c r="B17" s="64"/>
      <c r="C17" s="63"/>
      <c r="D17" s="64"/>
      <c r="E17" s="65"/>
      <c r="F17" s="66"/>
      <c r="G17" s="65"/>
      <c r="H17" s="65"/>
      <c r="I17" s="65"/>
      <c r="J17" s="65"/>
      <c r="K17" s="65"/>
      <c r="L17" s="65"/>
      <c r="M17" s="65"/>
      <c r="N17" s="67"/>
      <c r="O17" s="65"/>
      <c r="P17" s="65"/>
      <c r="Q17" s="68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65"/>
    </row>
    <row r="18" spans="1:34">
      <c r="A18" s="63"/>
      <c r="B18" s="64"/>
      <c r="C18" s="63"/>
      <c r="D18" s="64"/>
      <c r="E18" s="65"/>
      <c r="F18" s="66"/>
      <c r="G18" s="65"/>
      <c r="H18" s="65"/>
      <c r="I18" s="65"/>
      <c r="J18" s="65"/>
      <c r="K18" s="65"/>
      <c r="L18" s="65"/>
      <c r="M18" s="65"/>
      <c r="N18" s="67"/>
      <c r="O18" s="65"/>
      <c r="P18" s="65"/>
      <c r="Q18" s="68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H18" s="65"/>
    </row>
    <row r="19" spans="1:34">
      <c r="A19" s="63"/>
      <c r="B19" s="64"/>
      <c r="C19" s="63"/>
      <c r="D19" s="64"/>
      <c r="E19" s="65"/>
      <c r="F19" s="66"/>
      <c r="G19" s="65"/>
      <c r="H19" s="65"/>
      <c r="I19" s="65"/>
      <c r="J19" s="65"/>
      <c r="K19" s="65"/>
      <c r="L19" s="65"/>
      <c r="M19" s="65"/>
      <c r="N19" s="67"/>
      <c r="O19" s="65"/>
      <c r="P19" s="65"/>
      <c r="Q19" s="68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</row>
    <row r="20" spans="1:34">
      <c r="A20" s="63"/>
      <c r="B20" s="64"/>
      <c r="C20" s="63"/>
      <c r="D20" s="64"/>
      <c r="E20" s="65"/>
      <c r="F20" s="66"/>
      <c r="G20" s="65"/>
      <c r="H20" s="65"/>
      <c r="I20" s="65"/>
      <c r="J20" s="65"/>
      <c r="K20" s="65"/>
      <c r="L20" s="65"/>
      <c r="M20" s="65"/>
      <c r="N20" s="67"/>
      <c r="O20" s="65"/>
      <c r="P20" s="65"/>
      <c r="Q20" s="68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</row>
    <row r="21" spans="1:34">
      <c r="A21" s="63"/>
      <c r="B21" s="64"/>
      <c r="C21" s="63"/>
      <c r="D21" s="64"/>
      <c r="E21" s="65"/>
      <c r="F21" s="66"/>
      <c r="G21" s="65"/>
      <c r="H21" s="65"/>
      <c r="I21" s="65"/>
      <c r="J21" s="65"/>
      <c r="K21" s="65"/>
      <c r="L21" s="65"/>
      <c r="M21" s="65"/>
      <c r="N21" s="67"/>
      <c r="O21" s="65"/>
      <c r="P21" s="65"/>
      <c r="Q21" s="68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H21" s="65"/>
    </row>
    <row r="22" spans="1:34">
      <c r="A22" s="63"/>
      <c r="B22" s="64"/>
      <c r="C22" s="63"/>
      <c r="D22" s="64"/>
      <c r="E22" s="65"/>
      <c r="F22" s="66"/>
      <c r="G22" s="65"/>
      <c r="H22" s="65"/>
      <c r="I22" s="65"/>
      <c r="J22" s="65"/>
      <c r="K22" s="65"/>
      <c r="L22" s="65"/>
      <c r="M22" s="65"/>
      <c r="N22" s="67"/>
      <c r="O22" s="65"/>
      <c r="P22" s="65"/>
      <c r="Q22" s="68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</row>
    <row r="23" spans="1:34">
      <c r="A23" s="63"/>
      <c r="B23" s="64"/>
      <c r="C23" s="63"/>
      <c r="D23" s="64"/>
      <c r="E23" s="65"/>
      <c r="F23" s="66"/>
      <c r="G23" s="65"/>
      <c r="H23" s="65"/>
      <c r="I23" s="65"/>
      <c r="J23" s="65"/>
      <c r="K23" s="65"/>
      <c r="L23" s="65"/>
      <c r="M23" s="65"/>
      <c r="N23" s="67"/>
      <c r="O23" s="65"/>
      <c r="P23" s="65"/>
      <c r="Q23" s="68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H23" s="65"/>
    </row>
    <row r="24" spans="1:34">
      <c r="A24" s="63"/>
      <c r="B24" s="64"/>
      <c r="C24" s="63"/>
      <c r="D24" s="64"/>
      <c r="E24" s="65"/>
      <c r="F24" s="66"/>
      <c r="G24" s="65"/>
      <c r="H24" s="65"/>
      <c r="I24" s="65"/>
      <c r="J24" s="65"/>
      <c r="K24" s="65"/>
      <c r="L24" s="65"/>
      <c r="M24" s="65"/>
      <c r="N24" s="67"/>
      <c r="O24" s="65"/>
      <c r="P24" s="65"/>
      <c r="Q24" s="68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</row>
    <row r="25" spans="1:34">
      <c r="A25" s="63"/>
      <c r="B25" s="64"/>
      <c r="C25" s="63"/>
      <c r="D25" s="64"/>
      <c r="E25" s="65"/>
      <c r="F25" s="66"/>
      <c r="G25" s="65"/>
      <c r="H25" s="65"/>
      <c r="I25" s="65"/>
      <c r="J25" s="65"/>
      <c r="K25" s="65"/>
      <c r="L25" s="65"/>
      <c r="M25" s="65"/>
      <c r="N25" s="67"/>
      <c r="O25" s="65"/>
      <c r="P25" s="65"/>
      <c r="Q25" s="68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</row>
    <row r="26" spans="1:34">
      <c r="A26" s="63"/>
      <c r="B26" s="64"/>
      <c r="C26" s="63"/>
      <c r="D26" s="64"/>
      <c r="E26" s="65"/>
      <c r="F26" s="66"/>
      <c r="G26" s="65"/>
      <c r="H26" s="65"/>
      <c r="I26" s="65"/>
      <c r="J26" s="65"/>
      <c r="K26" s="65"/>
      <c r="L26" s="65"/>
      <c r="M26" s="65"/>
      <c r="N26" s="67"/>
      <c r="O26" s="65"/>
      <c r="P26" s="65"/>
      <c r="Q26" s="68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</row>
    <row r="27" spans="1:34">
      <c r="A27" s="63"/>
      <c r="B27" s="64"/>
      <c r="C27" s="63"/>
      <c r="D27" s="64"/>
      <c r="E27" s="65"/>
      <c r="F27" s="66"/>
      <c r="G27" s="65"/>
      <c r="H27" s="65"/>
      <c r="I27" s="65"/>
      <c r="J27" s="65"/>
      <c r="K27" s="65"/>
      <c r="L27" s="65"/>
      <c r="M27" s="65"/>
      <c r="N27" s="67"/>
      <c r="O27" s="65"/>
      <c r="P27" s="65"/>
      <c r="Q27" s="68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</row>
    <row r="28" spans="1:34">
      <c r="A28" s="63"/>
      <c r="B28" s="64"/>
      <c r="C28" s="63"/>
      <c r="D28" s="64"/>
      <c r="E28" s="65"/>
      <c r="F28" s="66"/>
      <c r="G28" s="65"/>
      <c r="H28" s="65"/>
      <c r="I28" s="65"/>
      <c r="J28" s="65"/>
      <c r="K28" s="65"/>
      <c r="L28" s="65"/>
      <c r="M28" s="65"/>
      <c r="N28" s="67"/>
      <c r="O28" s="65"/>
      <c r="P28" s="65"/>
      <c r="Q28" s="68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</row>
    <row r="29" spans="1:34">
      <c r="A29" s="63"/>
      <c r="B29" s="64"/>
      <c r="C29" s="63"/>
      <c r="D29" s="64"/>
      <c r="E29" s="65"/>
      <c r="F29" s="66"/>
      <c r="G29" s="65"/>
      <c r="H29" s="65"/>
      <c r="I29" s="65"/>
      <c r="J29" s="65"/>
      <c r="K29" s="65"/>
      <c r="L29" s="65"/>
      <c r="M29" s="65"/>
      <c r="N29" s="67"/>
      <c r="O29" s="65"/>
      <c r="P29" s="65"/>
      <c r="Q29" s="68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</row>
    <row r="30" spans="1:34">
      <c r="A30" s="63"/>
      <c r="B30" s="64"/>
      <c r="C30" s="63"/>
      <c r="D30" s="64"/>
      <c r="E30" s="65"/>
      <c r="F30" s="66"/>
      <c r="G30" s="65"/>
      <c r="H30" s="65"/>
      <c r="I30" s="65"/>
      <c r="J30" s="65"/>
      <c r="K30" s="65"/>
      <c r="L30" s="65"/>
      <c r="M30" s="65"/>
      <c r="N30" s="67"/>
      <c r="O30" s="65"/>
      <c r="P30" s="65"/>
      <c r="Q30" s="68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</row>
    <row r="31" spans="1:34">
      <c r="A31" s="63"/>
      <c r="B31" s="64"/>
      <c r="C31" s="63"/>
      <c r="D31" s="64"/>
      <c r="E31" s="65"/>
      <c r="F31" s="66"/>
      <c r="G31" s="65"/>
      <c r="H31" s="65"/>
      <c r="I31" s="65"/>
      <c r="J31" s="65"/>
      <c r="K31" s="65"/>
      <c r="L31" s="65"/>
      <c r="M31" s="65"/>
      <c r="N31" s="67"/>
      <c r="O31" s="65"/>
      <c r="P31" s="65"/>
      <c r="Q31" s="68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H31" s="65"/>
    </row>
    <row r="32" spans="1:34">
      <c r="A32" s="63"/>
      <c r="B32" s="64"/>
      <c r="C32" s="63"/>
      <c r="D32" s="64"/>
      <c r="E32" s="65"/>
      <c r="F32" s="66"/>
      <c r="G32" s="65"/>
      <c r="H32" s="65"/>
      <c r="I32" s="65"/>
      <c r="J32" s="65"/>
      <c r="K32" s="65"/>
      <c r="L32" s="65"/>
      <c r="M32" s="65"/>
      <c r="N32" s="67"/>
      <c r="O32" s="65"/>
      <c r="P32" s="65"/>
      <c r="Q32" s="68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</row>
    <row r="33" spans="1:34">
      <c r="A33" s="63"/>
      <c r="B33" s="64"/>
      <c r="C33" s="63"/>
      <c r="D33" s="64"/>
      <c r="E33" s="65"/>
      <c r="F33" s="66"/>
      <c r="G33" s="65"/>
      <c r="H33" s="65"/>
      <c r="I33" s="65"/>
      <c r="J33" s="65"/>
      <c r="K33" s="65"/>
      <c r="L33" s="65"/>
      <c r="M33" s="65"/>
      <c r="N33" s="67"/>
      <c r="O33" s="65"/>
      <c r="P33" s="65"/>
      <c r="Q33" s="68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</row>
    <row r="34" spans="1:34">
      <c r="A34" s="63"/>
      <c r="B34" s="64"/>
      <c r="C34" s="63"/>
      <c r="D34" s="64"/>
      <c r="E34" s="65"/>
      <c r="F34" s="66"/>
      <c r="G34" s="65"/>
      <c r="H34" s="65"/>
      <c r="I34" s="65"/>
      <c r="J34" s="65"/>
      <c r="K34" s="65"/>
      <c r="L34" s="65"/>
      <c r="M34" s="65"/>
      <c r="N34" s="67"/>
      <c r="O34" s="65"/>
      <c r="P34" s="65"/>
      <c r="Q34" s="68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</row>
    <row r="35" spans="1:34">
      <c r="A35" s="63"/>
      <c r="B35" s="64"/>
      <c r="C35" s="63"/>
      <c r="D35" s="64"/>
      <c r="E35" s="65"/>
      <c r="F35" s="66"/>
      <c r="G35" s="65"/>
      <c r="H35" s="65"/>
      <c r="I35" s="65"/>
      <c r="J35" s="65"/>
      <c r="K35" s="65"/>
      <c r="L35" s="65"/>
      <c r="M35" s="65"/>
      <c r="N35" s="67"/>
      <c r="O35" s="65"/>
      <c r="P35" s="65"/>
      <c r="Q35" s="68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</row>
    <row r="36" spans="1:34">
      <c r="A36" s="63"/>
      <c r="B36" s="64"/>
      <c r="C36" s="63"/>
      <c r="D36" s="64"/>
      <c r="E36" s="65"/>
      <c r="F36" s="66"/>
      <c r="G36" s="65"/>
      <c r="H36" s="65"/>
      <c r="I36" s="65"/>
      <c r="J36" s="65"/>
      <c r="K36" s="65"/>
      <c r="L36" s="65"/>
      <c r="M36" s="65"/>
      <c r="N36" s="67"/>
      <c r="O36" s="65"/>
      <c r="P36" s="65"/>
      <c r="Q36" s="68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</row>
    <row r="37" spans="1:34">
      <c r="A37" s="63"/>
      <c r="B37" s="64"/>
      <c r="C37" s="63"/>
      <c r="D37" s="64"/>
      <c r="E37" s="65"/>
      <c r="F37" s="66"/>
      <c r="G37" s="65"/>
      <c r="H37" s="65"/>
      <c r="I37" s="65"/>
      <c r="J37" s="65"/>
      <c r="K37" s="65"/>
      <c r="L37" s="65"/>
      <c r="M37" s="65"/>
      <c r="N37" s="67"/>
      <c r="O37" s="65"/>
      <c r="P37" s="65"/>
      <c r="Q37" s="68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</row>
    <row r="38" spans="1:34">
      <c r="A38" s="63"/>
      <c r="B38" s="64"/>
      <c r="C38" s="63"/>
      <c r="D38" s="64"/>
      <c r="E38" s="65"/>
      <c r="F38" s="66"/>
      <c r="G38" s="65"/>
      <c r="H38" s="65"/>
      <c r="I38" s="65"/>
      <c r="J38" s="65"/>
      <c r="K38" s="65"/>
      <c r="L38" s="65"/>
      <c r="M38" s="65"/>
      <c r="N38" s="67"/>
      <c r="O38" s="65"/>
      <c r="P38" s="65"/>
      <c r="Q38" s="68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</row>
  </sheetData>
  <sheetProtection selectLockedCells="1"/>
  <pageMargins left="0.7" right="0.7" top="0.75" bottom="0.75" header="0.3" footer="0.3"/>
  <pageSetup scale="5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4">
    <pageSetUpPr fitToPage="1"/>
  </sheetPr>
  <dimension ref="A1:CO192"/>
  <sheetViews>
    <sheetView showGridLines="0" zoomScaleNormal="100" workbookViewId="0">
      <pane ySplit="2" topLeftCell="A3" activePane="bottomLeft" state="frozen"/>
      <selection pane="bottomLeft" activeCell="K13" sqref="K13"/>
    </sheetView>
  </sheetViews>
  <sheetFormatPr defaultColWidth="9.140625" defaultRowHeight="15"/>
  <cols>
    <col min="1" max="1" width="13.7109375" style="82" bestFit="1" customWidth="1"/>
    <col min="2" max="2" width="17.5703125" style="81" customWidth="1"/>
    <col min="3" max="3" width="15.140625" style="82" bestFit="1" customWidth="1"/>
    <col min="4" max="4" width="15.5703125" style="81" customWidth="1"/>
    <col min="5" max="5" width="33.5703125" style="78" customWidth="1"/>
    <col min="6" max="7" width="17.7109375" style="78" customWidth="1"/>
    <col min="8" max="8" width="17.140625" style="78" customWidth="1"/>
    <col min="9" max="9" width="17.7109375" style="78" customWidth="1"/>
    <col min="10" max="10" width="12.7109375" style="80" customWidth="1"/>
    <col min="11" max="11" width="16.140625" style="78" customWidth="1"/>
    <col min="12" max="19" width="12.7109375" style="78" customWidth="1"/>
    <col min="20" max="20" width="12.7109375" style="79" customWidth="1"/>
    <col min="21" max="21" width="14.28515625" style="78" bestFit="1" customWidth="1"/>
    <col min="22" max="36" width="12.7109375" style="78" customWidth="1"/>
    <col min="37" max="37" width="9.140625" style="78"/>
    <col min="38" max="38" width="11.5703125" style="78" customWidth="1"/>
    <col min="39" max="39" width="9.140625" style="78"/>
    <col min="40" max="40" width="10.85546875" style="78" bestFit="1" customWidth="1"/>
    <col min="41" max="41" width="42" style="109" customWidth="1"/>
    <col min="42" max="42" width="13.7109375" style="78" customWidth="1"/>
    <col min="43" max="44" width="9.140625" style="78"/>
    <col min="45" max="45" width="13.42578125" style="78" customWidth="1"/>
    <col min="46" max="46" width="9.140625" style="78"/>
    <col min="47" max="47" width="11.5703125" style="78" customWidth="1"/>
    <col min="48" max="48" width="11.140625" style="78" customWidth="1"/>
    <col min="49" max="49" width="9.140625" style="78"/>
    <col min="50" max="50" width="11.140625" style="78" customWidth="1"/>
    <col min="51" max="51" width="9.140625" style="78"/>
    <col min="52" max="52" width="19.5703125" style="78" customWidth="1"/>
    <col min="53" max="53" width="15" style="78" customWidth="1"/>
    <col min="54" max="54" width="13.85546875" style="78" customWidth="1"/>
    <col min="55" max="56" width="9.140625" style="78"/>
    <col min="57" max="57" width="12" style="78" customWidth="1"/>
    <col min="58" max="60" width="9.140625" style="78"/>
    <col min="61" max="61" width="13.7109375" style="78" customWidth="1"/>
    <col min="62" max="62" width="15" style="78" customWidth="1"/>
    <col min="63" max="66" width="9.140625" style="78"/>
    <col min="67" max="67" width="11.28515625" style="78" customWidth="1"/>
    <col min="68" max="71" width="9.140625" style="78"/>
    <col min="72" max="72" width="20" style="78" customWidth="1"/>
    <col min="73" max="74" width="9.140625" style="78"/>
    <col min="75" max="75" width="19.28515625" style="78" customWidth="1"/>
    <col min="76" max="76" width="9.140625" style="78"/>
    <col min="77" max="77" width="10.140625" style="78" customWidth="1"/>
    <col min="78" max="16384" width="9.140625" style="78"/>
  </cols>
  <sheetData>
    <row r="1" spans="1:87" ht="29.25" customHeight="1"/>
    <row r="2" spans="1:87" s="83" customFormat="1" ht="54.75" customHeight="1">
      <c r="A2" s="90" t="s">
        <v>0</v>
      </c>
      <c r="B2" s="89" t="s">
        <v>1898</v>
      </c>
      <c r="C2" s="90" t="s">
        <v>2</v>
      </c>
      <c r="D2" s="89" t="s">
        <v>1899</v>
      </c>
      <c r="E2" s="88" t="s">
        <v>436</v>
      </c>
      <c r="F2" s="85" t="s">
        <v>466</v>
      </c>
      <c r="G2" s="86" t="s">
        <v>467</v>
      </c>
      <c r="H2" s="86" t="s">
        <v>468</v>
      </c>
      <c r="I2" s="86" t="s">
        <v>431</v>
      </c>
      <c r="J2" s="87" t="s">
        <v>435</v>
      </c>
      <c r="K2" s="85" t="s">
        <v>434</v>
      </c>
      <c r="L2" s="85" t="s">
        <v>437</v>
      </c>
      <c r="M2" s="86" t="s">
        <v>438</v>
      </c>
      <c r="N2" s="86" t="s">
        <v>439</v>
      </c>
      <c r="O2" s="86" t="s">
        <v>440</v>
      </c>
      <c r="P2" s="86" t="s">
        <v>441</v>
      </c>
      <c r="Q2" s="86" t="s">
        <v>442</v>
      </c>
      <c r="R2" s="86" t="s">
        <v>443</v>
      </c>
      <c r="S2" s="88" t="s">
        <v>444</v>
      </c>
      <c r="T2" s="84" t="s">
        <v>445</v>
      </c>
      <c r="U2" s="83" t="s">
        <v>446</v>
      </c>
      <c r="V2" s="83" t="s">
        <v>447</v>
      </c>
      <c r="W2" s="83" t="s">
        <v>448</v>
      </c>
      <c r="X2" s="83" t="s">
        <v>449</v>
      </c>
      <c r="Y2" s="83" t="s">
        <v>450</v>
      </c>
      <c r="Z2" s="83" t="s">
        <v>451</v>
      </c>
      <c r="AA2" s="83" t="s">
        <v>452</v>
      </c>
      <c r="AB2" s="83" t="s">
        <v>453</v>
      </c>
      <c r="AC2" s="83" t="s">
        <v>454</v>
      </c>
      <c r="AD2" s="83" t="s">
        <v>455</v>
      </c>
      <c r="AE2" s="83" t="s">
        <v>456</v>
      </c>
      <c r="AF2" s="83" t="s">
        <v>457</v>
      </c>
      <c r="AG2" s="83" t="s">
        <v>458</v>
      </c>
      <c r="AH2" s="83" t="s">
        <v>459</v>
      </c>
      <c r="AI2" s="83" t="s">
        <v>460</v>
      </c>
      <c r="AJ2" s="83" t="s">
        <v>461</v>
      </c>
      <c r="AK2" s="83" t="s">
        <v>462</v>
      </c>
      <c r="AL2" s="83" t="s">
        <v>463</v>
      </c>
      <c r="AM2" s="83" t="s">
        <v>464</v>
      </c>
      <c r="AN2" s="83" t="s">
        <v>465</v>
      </c>
      <c r="AO2" s="83" t="s">
        <v>430</v>
      </c>
      <c r="AP2" s="83" t="s">
        <v>469</v>
      </c>
      <c r="AQ2" s="83" t="s">
        <v>470</v>
      </c>
      <c r="AR2" s="83" t="s">
        <v>471</v>
      </c>
      <c r="AS2" s="83" t="s">
        <v>472</v>
      </c>
      <c r="AT2" s="83" t="s">
        <v>473</v>
      </c>
      <c r="AU2" s="83" t="s">
        <v>474</v>
      </c>
      <c r="AV2" s="83" t="s">
        <v>475</v>
      </c>
      <c r="AW2" s="83" t="s">
        <v>476</v>
      </c>
      <c r="AX2" s="83" t="s">
        <v>477</v>
      </c>
      <c r="AY2" s="83" t="s">
        <v>476</v>
      </c>
      <c r="AZ2" s="83" t="s">
        <v>478</v>
      </c>
      <c r="BA2" s="83" t="s">
        <v>479</v>
      </c>
      <c r="BB2" s="83" t="s">
        <v>480</v>
      </c>
      <c r="BC2" s="83" t="s">
        <v>481</v>
      </c>
      <c r="BD2" s="83" t="s">
        <v>482</v>
      </c>
      <c r="BE2" s="83" t="s">
        <v>483</v>
      </c>
      <c r="BF2" s="83" t="s">
        <v>484</v>
      </c>
      <c r="BG2" s="83" t="s">
        <v>485</v>
      </c>
      <c r="BH2" s="83" t="s">
        <v>486</v>
      </c>
      <c r="BI2" s="83" t="s">
        <v>487</v>
      </c>
      <c r="BJ2" s="83" t="s">
        <v>488</v>
      </c>
      <c r="BK2" s="83" t="s">
        <v>489</v>
      </c>
      <c r="BL2" s="83" t="s">
        <v>490</v>
      </c>
      <c r="BM2" s="83" t="s">
        <v>481</v>
      </c>
      <c r="BN2" s="83" t="s">
        <v>491</v>
      </c>
      <c r="BO2" s="83" t="s">
        <v>483</v>
      </c>
      <c r="BP2" s="83" t="s">
        <v>484</v>
      </c>
      <c r="BQ2" s="83" t="s">
        <v>485</v>
      </c>
      <c r="BR2" s="83" t="s">
        <v>492</v>
      </c>
      <c r="BS2" s="83" t="s">
        <v>493</v>
      </c>
      <c r="BT2" s="83" t="s">
        <v>7</v>
      </c>
      <c r="BU2" s="83" t="s">
        <v>494</v>
      </c>
      <c r="BV2" s="83" t="s">
        <v>495</v>
      </c>
      <c r="BW2" s="83" t="s">
        <v>496</v>
      </c>
      <c r="BX2" s="83" t="s">
        <v>497</v>
      </c>
      <c r="BY2" s="83" t="s">
        <v>498</v>
      </c>
      <c r="BZ2" s="83" t="s">
        <v>499</v>
      </c>
      <c r="CA2" s="83" t="s">
        <v>500</v>
      </c>
      <c r="CB2" s="83" t="s">
        <v>501</v>
      </c>
      <c r="CC2" s="83" t="s">
        <v>502</v>
      </c>
      <c r="CD2" s="83" t="s">
        <v>503</v>
      </c>
      <c r="CE2" s="83" t="s">
        <v>504</v>
      </c>
      <c r="CF2" s="83" t="s">
        <v>505</v>
      </c>
      <c r="CG2" s="83" t="s">
        <v>506</v>
      </c>
      <c r="CH2" s="83" t="s">
        <v>507</v>
      </c>
      <c r="CI2" s="83" t="s">
        <v>508</v>
      </c>
    </row>
    <row r="3" spans="1:87" s="117" customFormat="1" ht="25.5">
      <c r="A3" s="114">
        <v>41730.225659722222</v>
      </c>
      <c r="B3" s="115">
        <v>41730.225659722222</v>
      </c>
      <c r="C3" s="114"/>
      <c r="D3" s="115"/>
      <c r="E3" s="116" t="s">
        <v>926</v>
      </c>
      <c r="F3" s="117" t="s">
        <v>637</v>
      </c>
      <c r="G3" s="117" t="s">
        <v>927</v>
      </c>
      <c r="H3" s="117" t="s">
        <v>928</v>
      </c>
      <c r="I3" s="117">
        <v>203</v>
      </c>
      <c r="J3" s="118" t="s">
        <v>929</v>
      </c>
      <c r="K3" s="117" t="s">
        <v>930</v>
      </c>
      <c r="L3" s="117" t="s">
        <v>931</v>
      </c>
      <c r="M3" s="117" t="s">
        <v>932</v>
      </c>
      <c r="N3" s="117" t="s">
        <v>932</v>
      </c>
      <c r="O3" s="117" t="s">
        <v>933</v>
      </c>
      <c r="P3" s="117" t="s">
        <v>932</v>
      </c>
      <c r="Q3" s="117" t="s">
        <v>932</v>
      </c>
      <c r="R3" s="117" t="s">
        <v>932</v>
      </c>
      <c r="S3" s="117" t="s">
        <v>932</v>
      </c>
      <c r="T3" s="119" t="s">
        <v>932</v>
      </c>
      <c r="U3" s="117" t="s">
        <v>932</v>
      </c>
      <c r="V3" s="117" t="s">
        <v>932</v>
      </c>
      <c r="W3" s="117" t="s">
        <v>932</v>
      </c>
      <c r="X3" s="117" t="s">
        <v>934</v>
      </c>
      <c r="Y3" s="117" t="s">
        <v>934</v>
      </c>
      <c r="Z3" s="117" t="s">
        <v>934</v>
      </c>
      <c r="AA3" s="117" t="s">
        <v>932</v>
      </c>
      <c r="AB3" s="117" t="s">
        <v>934</v>
      </c>
      <c r="AC3" s="117" t="s">
        <v>934</v>
      </c>
      <c r="AD3" s="117" t="s">
        <v>934</v>
      </c>
      <c r="AE3" s="117" t="s">
        <v>934</v>
      </c>
      <c r="AF3" s="117" t="s">
        <v>934</v>
      </c>
      <c r="AG3" s="117" t="s">
        <v>932</v>
      </c>
      <c r="AH3" s="117" t="s">
        <v>934</v>
      </c>
      <c r="AI3" s="117" t="s">
        <v>934</v>
      </c>
      <c r="AJ3" s="117" t="s">
        <v>935</v>
      </c>
      <c r="AK3" s="117" t="s">
        <v>936</v>
      </c>
      <c r="AL3" s="117" t="s">
        <v>937</v>
      </c>
      <c r="AM3" s="117" t="s">
        <v>938</v>
      </c>
      <c r="AN3" s="117" t="s">
        <v>932</v>
      </c>
      <c r="AO3" s="117" t="s">
        <v>939</v>
      </c>
      <c r="AP3" s="117" t="s">
        <v>940</v>
      </c>
      <c r="AQ3" s="117" t="s">
        <v>941</v>
      </c>
      <c r="AR3" s="117" t="s">
        <v>942</v>
      </c>
      <c r="AS3" s="117" t="s">
        <v>943</v>
      </c>
      <c r="AT3" s="117" t="s">
        <v>933</v>
      </c>
      <c r="AU3" s="117" t="s">
        <v>933</v>
      </c>
      <c r="AV3" s="117" t="s">
        <v>932</v>
      </c>
      <c r="AW3" s="117">
        <v>0.3</v>
      </c>
      <c r="AX3" s="117" t="s">
        <v>932</v>
      </c>
      <c r="AY3" s="117">
        <v>0</v>
      </c>
      <c r="AZ3" s="117" t="s">
        <v>944</v>
      </c>
      <c r="BA3" s="117" t="s">
        <v>932</v>
      </c>
      <c r="BB3" s="117" t="s">
        <v>932</v>
      </c>
      <c r="BC3" s="117" t="s">
        <v>932</v>
      </c>
      <c r="BD3" s="117" t="s">
        <v>932</v>
      </c>
      <c r="BF3" s="117">
        <v>2</v>
      </c>
      <c r="BG3" s="117" t="s">
        <v>933</v>
      </c>
      <c r="BH3" s="117">
        <v>15</v>
      </c>
      <c r="BI3" s="117" t="s">
        <v>945</v>
      </c>
      <c r="BJ3" s="117" t="s">
        <v>932</v>
      </c>
      <c r="BK3" s="117" t="s">
        <v>932</v>
      </c>
      <c r="BL3" s="117">
        <v>1</v>
      </c>
      <c r="BO3" s="117" t="s">
        <v>933</v>
      </c>
      <c r="BP3" s="117">
        <v>1</v>
      </c>
      <c r="BQ3" s="117" t="s">
        <v>933</v>
      </c>
      <c r="BR3" s="117">
        <v>200</v>
      </c>
      <c r="BS3" s="117">
        <v>50</v>
      </c>
      <c r="BT3" s="117" t="s">
        <v>946</v>
      </c>
      <c r="BU3" s="117" t="s">
        <v>932</v>
      </c>
      <c r="BW3" s="117" t="s">
        <v>947</v>
      </c>
      <c r="BX3" s="117">
        <v>6.05</v>
      </c>
      <c r="BY3" s="117" t="s">
        <v>190</v>
      </c>
      <c r="CB3" s="117" t="s">
        <v>932</v>
      </c>
      <c r="CD3" s="117" t="s">
        <v>932</v>
      </c>
      <c r="CF3" s="117">
        <v>32</v>
      </c>
      <c r="CG3" s="117">
        <v>3</v>
      </c>
      <c r="CI3" s="117" t="s">
        <v>932</v>
      </c>
    </row>
    <row r="4" spans="1:87" s="117" customFormat="1" ht="25.5">
      <c r="A4" s="114">
        <v>41730.318009259259</v>
      </c>
      <c r="B4" s="115">
        <v>41730.318009259259</v>
      </c>
      <c r="C4" s="114">
        <v>41732.282395833332</v>
      </c>
      <c r="D4" s="115">
        <v>41732.282395833332</v>
      </c>
      <c r="E4" s="116" t="s">
        <v>948</v>
      </c>
      <c r="F4" s="117" t="s">
        <v>963</v>
      </c>
      <c r="G4" s="117" t="s">
        <v>949</v>
      </c>
      <c r="H4" s="117">
        <v>9892697171</v>
      </c>
      <c r="I4" s="117">
        <v>501</v>
      </c>
      <c r="J4" s="118" t="s">
        <v>950</v>
      </c>
      <c r="K4" s="117">
        <v>250</v>
      </c>
      <c r="L4" s="117" t="s">
        <v>931</v>
      </c>
      <c r="M4" s="117" t="s">
        <v>932</v>
      </c>
      <c r="N4" s="117" t="s">
        <v>932</v>
      </c>
      <c r="O4" s="117" t="s">
        <v>932</v>
      </c>
      <c r="P4" s="117" t="s">
        <v>951</v>
      </c>
      <c r="Q4" s="117" t="s">
        <v>934</v>
      </c>
      <c r="R4" s="117" t="s">
        <v>932</v>
      </c>
      <c r="S4" s="117" t="s">
        <v>932</v>
      </c>
      <c r="T4" s="119" t="s">
        <v>932</v>
      </c>
      <c r="U4" s="117" t="s">
        <v>932</v>
      </c>
      <c r="V4" s="117" t="s">
        <v>932</v>
      </c>
      <c r="W4" s="117" t="s">
        <v>932</v>
      </c>
      <c r="X4" s="117" t="s">
        <v>934</v>
      </c>
      <c r="Y4" s="117" t="s">
        <v>934</v>
      </c>
      <c r="Z4" s="117" t="s">
        <v>934</v>
      </c>
      <c r="AA4" s="117" t="s">
        <v>934</v>
      </c>
      <c r="AB4" s="117" t="s">
        <v>934</v>
      </c>
      <c r="AC4" s="117" t="s">
        <v>934</v>
      </c>
      <c r="AD4" s="117" t="s">
        <v>934</v>
      </c>
      <c r="AE4" s="117" t="s">
        <v>934</v>
      </c>
      <c r="AF4" s="117" t="s">
        <v>934</v>
      </c>
      <c r="AG4" s="117" t="s">
        <v>934</v>
      </c>
      <c r="AH4" s="117" t="s">
        <v>934</v>
      </c>
      <c r="AI4" s="117" t="s">
        <v>934</v>
      </c>
      <c r="AJ4" s="117" t="s">
        <v>943</v>
      </c>
      <c r="AK4" s="117" t="s">
        <v>952</v>
      </c>
      <c r="AL4" s="117" t="s">
        <v>943</v>
      </c>
      <c r="AM4" s="117" t="s">
        <v>953</v>
      </c>
      <c r="AN4" s="117" t="s">
        <v>932</v>
      </c>
      <c r="AO4" s="117" t="s">
        <v>954</v>
      </c>
      <c r="AP4" s="117" t="s">
        <v>955</v>
      </c>
      <c r="AQ4" s="117" t="s">
        <v>956</v>
      </c>
      <c r="AR4" s="117" t="s">
        <v>957</v>
      </c>
      <c r="AS4" s="117" t="s">
        <v>958</v>
      </c>
      <c r="AT4" s="117" t="s">
        <v>933</v>
      </c>
      <c r="AU4" s="117" t="s">
        <v>933</v>
      </c>
      <c r="AV4" s="117" t="s">
        <v>932</v>
      </c>
      <c r="AW4" s="117">
        <v>0.9</v>
      </c>
      <c r="AX4" s="117" t="s">
        <v>933</v>
      </c>
      <c r="AY4" s="117" t="s">
        <v>959</v>
      </c>
      <c r="AZ4" s="117" t="s">
        <v>944</v>
      </c>
      <c r="BA4" s="117" t="s">
        <v>932</v>
      </c>
      <c r="BB4" s="117" t="s">
        <v>932</v>
      </c>
      <c r="BC4" s="117" t="s">
        <v>932</v>
      </c>
      <c r="BE4" s="117" t="s">
        <v>932</v>
      </c>
      <c r="BF4" s="117">
        <v>0</v>
      </c>
      <c r="BG4" s="117" t="s">
        <v>932</v>
      </c>
      <c r="BH4" s="117">
        <v>15</v>
      </c>
      <c r="BI4" s="117" t="s">
        <v>960</v>
      </c>
      <c r="BJ4" s="117" t="s">
        <v>933</v>
      </c>
      <c r="BK4" s="117" t="s">
        <v>932</v>
      </c>
      <c r="BL4" s="117">
        <v>1</v>
      </c>
      <c r="BM4" s="117" t="s">
        <v>932</v>
      </c>
      <c r="BO4" s="117" t="s">
        <v>932</v>
      </c>
      <c r="BP4" s="117">
        <v>0</v>
      </c>
      <c r="BQ4" s="117" t="s">
        <v>933</v>
      </c>
      <c r="BS4" s="117">
        <v>100</v>
      </c>
      <c r="BT4" s="117" t="s">
        <v>946</v>
      </c>
      <c r="BV4" s="117">
        <v>501</v>
      </c>
      <c r="BW4" s="117" t="s">
        <v>961</v>
      </c>
      <c r="BX4" s="117">
        <v>6.05</v>
      </c>
      <c r="BY4" s="117" t="s">
        <v>190</v>
      </c>
      <c r="CB4" s="117" t="s">
        <v>932</v>
      </c>
      <c r="CC4" s="117" t="s">
        <v>1442</v>
      </c>
      <c r="CD4" s="117" t="s">
        <v>932</v>
      </c>
      <c r="CE4" s="117" t="s">
        <v>932</v>
      </c>
      <c r="CF4" s="117">
        <v>31</v>
      </c>
      <c r="CG4" s="117">
        <v>0.5</v>
      </c>
      <c r="CH4" s="117" t="s">
        <v>932</v>
      </c>
      <c r="CI4" s="117" t="s">
        <v>932</v>
      </c>
    </row>
    <row r="5" spans="1:87" s="117" customFormat="1" ht="25.5">
      <c r="A5" s="114">
        <v>41730.329131944447</v>
      </c>
      <c r="B5" s="115">
        <v>41730.329131944447</v>
      </c>
      <c r="C5" s="114">
        <v>41731.430949074071</v>
      </c>
      <c r="D5" s="115">
        <v>41731.430949074071</v>
      </c>
      <c r="E5" s="116" t="s">
        <v>962</v>
      </c>
      <c r="F5" s="117" t="s">
        <v>963</v>
      </c>
      <c r="G5" s="117" t="s">
        <v>949</v>
      </c>
      <c r="H5" s="117">
        <v>9892697171</v>
      </c>
      <c r="I5" s="117">
        <v>504</v>
      </c>
      <c r="J5" s="118" t="s">
        <v>964</v>
      </c>
      <c r="K5" s="117" t="s">
        <v>965</v>
      </c>
      <c r="L5" s="117" t="s">
        <v>966</v>
      </c>
      <c r="M5" s="117" t="s">
        <v>932</v>
      </c>
      <c r="N5" s="117" t="s">
        <v>932</v>
      </c>
      <c r="O5" s="117" t="s">
        <v>932</v>
      </c>
      <c r="P5" s="117" t="s">
        <v>932</v>
      </c>
      <c r="Q5" s="117" t="s">
        <v>934</v>
      </c>
      <c r="R5" s="117" t="s">
        <v>934</v>
      </c>
      <c r="S5" s="117" t="s">
        <v>934</v>
      </c>
      <c r="T5" s="119" t="s">
        <v>932</v>
      </c>
      <c r="U5" s="117" t="s">
        <v>932</v>
      </c>
      <c r="V5" s="117" t="s">
        <v>932</v>
      </c>
      <c r="W5" s="117" t="s">
        <v>932</v>
      </c>
      <c r="X5" s="117" t="s">
        <v>934</v>
      </c>
      <c r="Y5" s="117" t="s">
        <v>934</v>
      </c>
      <c r="Z5" s="117" t="s">
        <v>934</v>
      </c>
      <c r="AA5" s="117" t="s">
        <v>934</v>
      </c>
      <c r="AB5" s="117" t="s">
        <v>934</v>
      </c>
      <c r="AC5" s="117" t="s">
        <v>934</v>
      </c>
      <c r="AD5" s="117" t="s">
        <v>934</v>
      </c>
      <c r="AE5" s="117" t="s">
        <v>934</v>
      </c>
      <c r="AF5" s="117" t="s">
        <v>934</v>
      </c>
      <c r="AG5" s="117" t="s">
        <v>934</v>
      </c>
      <c r="AH5" s="117" t="s">
        <v>934</v>
      </c>
      <c r="AI5" s="117" t="s">
        <v>934</v>
      </c>
      <c r="AJ5" s="117" t="s">
        <v>943</v>
      </c>
      <c r="AK5" s="117" t="s">
        <v>967</v>
      </c>
      <c r="AL5" s="117" t="s">
        <v>943</v>
      </c>
      <c r="AM5" s="117" t="s">
        <v>968</v>
      </c>
      <c r="AN5" s="117" t="s">
        <v>932</v>
      </c>
      <c r="AO5" s="117" t="s">
        <v>969</v>
      </c>
      <c r="AP5" s="117" t="s">
        <v>970</v>
      </c>
      <c r="AR5" s="117" t="s">
        <v>971</v>
      </c>
      <c r="AS5" s="117" t="s">
        <v>943</v>
      </c>
      <c r="AT5" s="117" t="s">
        <v>933</v>
      </c>
      <c r="AU5" s="117" t="s">
        <v>932</v>
      </c>
      <c r="AV5" s="117" t="s">
        <v>933</v>
      </c>
      <c r="AW5" s="117">
        <v>280</v>
      </c>
      <c r="AX5" s="117" t="s">
        <v>932</v>
      </c>
      <c r="AY5" s="117">
        <v>1.8</v>
      </c>
      <c r="AZ5" s="117">
        <v>1.6</v>
      </c>
      <c r="BA5" s="117" t="s">
        <v>932</v>
      </c>
      <c r="BB5" s="117" t="s">
        <v>932</v>
      </c>
      <c r="BC5" s="117" t="s">
        <v>932</v>
      </c>
      <c r="BD5" s="117" t="s">
        <v>932</v>
      </c>
      <c r="BE5" s="117" t="s">
        <v>932</v>
      </c>
      <c r="BF5" s="117">
        <v>1</v>
      </c>
      <c r="BG5" s="117" t="s">
        <v>932</v>
      </c>
      <c r="BH5" s="117">
        <v>15</v>
      </c>
      <c r="BI5" s="117" t="s">
        <v>972</v>
      </c>
      <c r="BJ5" s="117" t="s">
        <v>933</v>
      </c>
      <c r="BK5" s="117" t="s">
        <v>932</v>
      </c>
      <c r="BL5" s="117">
        <v>1</v>
      </c>
      <c r="BM5" s="117" t="s">
        <v>932</v>
      </c>
      <c r="BN5" s="117" t="s">
        <v>932</v>
      </c>
      <c r="BO5" s="117" t="s">
        <v>932</v>
      </c>
      <c r="BP5" s="117">
        <v>0</v>
      </c>
      <c r="BQ5" s="117" t="s">
        <v>932</v>
      </c>
      <c r="BR5" s="117">
        <v>300</v>
      </c>
      <c r="BS5" s="117">
        <v>300</v>
      </c>
      <c r="BT5" s="117" t="s">
        <v>973</v>
      </c>
      <c r="BU5" s="117" t="s">
        <v>932</v>
      </c>
      <c r="BV5" s="117">
        <v>504</v>
      </c>
      <c r="BW5" s="117" t="s">
        <v>724</v>
      </c>
      <c r="BX5" s="117">
        <v>6.05</v>
      </c>
      <c r="BY5" s="117" t="s">
        <v>190</v>
      </c>
      <c r="CB5" s="117" t="s">
        <v>932</v>
      </c>
      <c r="CC5" s="117" t="s">
        <v>1443</v>
      </c>
      <c r="CD5" s="117" t="s">
        <v>932</v>
      </c>
      <c r="CE5" s="117" t="s">
        <v>932</v>
      </c>
      <c r="CF5" s="117">
        <v>38</v>
      </c>
      <c r="CG5" s="117">
        <v>4</v>
      </c>
      <c r="CH5" s="117" t="s">
        <v>932</v>
      </c>
      <c r="CI5" s="117" t="s">
        <v>932</v>
      </c>
    </row>
    <row r="6" spans="1:87" s="117" customFormat="1" ht="25.5">
      <c r="A6" s="114">
        <v>41730.346597222226</v>
      </c>
      <c r="B6" s="115">
        <v>41730.346597222226</v>
      </c>
      <c r="C6" s="114">
        <v>41731.458599537036</v>
      </c>
      <c r="D6" s="115">
        <v>41731.458599537036</v>
      </c>
      <c r="E6" s="116" t="s">
        <v>974</v>
      </c>
      <c r="F6" s="117" t="s">
        <v>963</v>
      </c>
      <c r="G6" s="117" t="s">
        <v>975</v>
      </c>
      <c r="H6" s="117">
        <v>9882697171</v>
      </c>
      <c r="I6" s="117">
        <v>506</v>
      </c>
      <c r="J6" s="118" t="s">
        <v>976</v>
      </c>
      <c r="K6" s="117" t="s">
        <v>977</v>
      </c>
      <c r="L6" s="117" t="s">
        <v>966</v>
      </c>
      <c r="M6" s="117" t="s">
        <v>932</v>
      </c>
      <c r="N6" s="117" t="s">
        <v>932</v>
      </c>
      <c r="O6" s="117" t="s">
        <v>932</v>
      </c>
      <c r="P6" s="117" t="s">
        <v>934</v>
      </c>
      <c r="Q6" s="117" t="s">
        <v>934</v>
      </c>
      <c r="R6" s="117" t="s">
        <v>934</v>
      </c>
      <c r="S6" s="117" t="s">
        <v>934</v>
      </c>
      <c r="T6" s="119" t="s">
        <v>932</v>
      </c>
      <c r="U6" s="117" t="s">
        <v>932</v>
      </c>
      <c r="V6" s="117" t="s">
        <v>932</v>
      </c>
      <c r="W6" s="117" t="s">
        <v>932</v>
      </c>
      <c r="X6" s="117" t="s">
        <v>934</v>
      </c>
      <c r="Y6" s="117" t="s">
        <v>934</v>
      </c>
      <c r="Z6" s="117" t="s">
        <v>934</v>
      </c>
      <c r="AA6" s="117" t="s">
        <v>934</v>
      </c>
      <c r="AB6" s="117" t="s">
        <v>934</v>
      </c>
      <c r="AC6" s="117" t="s">
        <v>934</v>
      </c>
      <c r="AD6" s="117" t="s">
        <v>934</v>
      </c>
      <c r="AE6" s="117" t="s">
        <v>934</v>
      </c>
      <c r="AF6" s="117" t="s">
        <v>934</v>
      </c>
      <c r="AG6" s="117" t="s">
        <v>934</v>
      </c>
      <c r="AH6" s="117" t="s">
        <v>934</v>
      </c>
      <c r="AI6" s="117" t="s">
        <v>934</v>
      </c>
      <c r="AK6" s="117" t="s">
        <v>978</v>
      </c>
      <c r="AL6" s="117" t="s">
        <v>943</v>
      </c>
      <c r="AM6" s="117" t="s">
        <v>979</v>
      </c>
      <c r="AN6" s="117" t="s">
        <v>932</v>
      </c>
      <c r="AO6" s="117" t="s">
        <v>980</v>
      </c>
      <c r="AP6" s="117" t="s">
        <v>981</v>
      </c>
      <c r="AQ6" s="117" t="s">
        <v>982</v>
      </c>
      <c r="AR6" s="117" t="s">
        <v>943</v>
      </c>
      <c r="AS6" s="117" t="s">
        <v>943</v>
      </c>
      <c r="AT6" s="117" t="s">
        <v>933</v>
      </c>
      <c r="AU6" s="117" t="s">
        <v>932</v>
      </c>
      <c r="AV6" s="117" t="s">
        <v>933</v>
      </c>
      <c r="AW6" s="117" t="s">
        <v>944</v>
      </c>
      <c r="AX6" s="117" t="s">
        <v>933</v>
      </c>
      <c r="AY6" s="117" t="s">
        <v>944</v>
      </c>
      <c r="AZ6" s="117">
        <v>0.04</v>
      </c>
      <c r="BA6" s="117" t="s">
        <v>932</v>
      </c>
      <c r="BB6" s="117" t="s">
        <v>932</v>
      </c>
      <c r="BC6" s="117" t="s">
        <v>932</v>
      </c>
      <c r="BD6" s="117" t="s">
        <v>932</v>
      </c>
      <c r="BE6" s="117" t="s">
        <v>932</v>
      </c>
      <c r="BF6" s="117">
        <v>0</v>
      </c>
      <c r="BG6" s="117" t="s">
        <v>932</v>
      </c>
      <c r="BH6" s="117">
        <v>15</v>
      </c>
      <c r="BI6" s="117" t="s">
        <v>983</v>
      </c>
      <c r="BJ6" s="117" t="s">
        <v>933</v>
      </c>
      <c r="BK6" s="117" t="s">
        <v>932</v>
      </c>
      <c r="BL6" s="117">
        <v>1</v>
      </c>
      <c r="BM6" s="117" t="s">
        <v>932</v>
      </c>
      <c r="BN6" s="117" t="s">
        <v>932</v>
      </c>
      <c r="BO6" s="117" t="s">
        <v>932</v>
      </c>
      <c r="BP6" s="117">
        <v>0</v>
      </c>
      <c r="BQ6" s="117" t="s">
        <v>933</v>
      </c>
      <c r="BR6" s="117">
        <v>1000</v>
      </c>
      <c r="BS6" s="117">
        <v>250</v>
      </c>
      <c r="BT6" s="117" t="s">
        <v>984</v>
      </c>
      <c r="BU6" s="117" t="s">
        <v>932</v>
      </c>
      <c r="BV6" s="117">
        <v>506</v>
      </c>
      <c r="BW6" s="117" t="s">
        <v>985</v>
      </c>
      <c r="BX6" s="117" t="s">
        <v>986</v>
      </c>
      <c r="BY6" s="117" t="s">
        <v>190</v>
      </c>
      <c r="CB6" s="117" t="s">
        <v>932</v>
      </c>
      <c r="CD6" s="117" t="s">
        <v>932</v>
      </c>
      <c r="CE6" s="117" t="s">
        <v>932</v>
      </c>
      <c r="CF6" s="117">
        <v>35</v>
      </c>
      <c r="CG6" s="117">
        <v>1.2</v>
      </c>
      <c r="CH6" s="117" t="s">
        <v>932</v>
      </c>
      <c r="CI6" s="117" t="s">
        <v>932</v>
      </c>
    </row>
    <row r="7" spans="1:87" s="117" customFormat="1" ht="25.5">
      <c r="A7" s="114">
        <v>41730.36273148148</v>
      </c>
      <c r="B7" s="115">
        <v>41730.36273148148</v>
      </c>
      <c r="C7" s="114">
        <v>41730.371851851851</v>
      </c>
      <c r="D7" s="115">
        <v>41730.371851851851</v>
      </c>
      <c r="E7" s="116" t="s">
        <v>987</v>
      </c>
      <c r="F7" s="117" t="s">
        <v>963</v>
      </c>
      <c r="G7" s="117" t="s">
        <v>975</v>
      </c>
      <c r="H7" s="117">
        <v>9892697171</v>
      </c>
      <c r="I7" s="117">
        <v>505</v>
      </c>
      <c r="J7" s="118" t="s">
        <v>988</v>
      </c>
      <c r="K7" s="117" t="s">
        <v>989</v>
      </c>
      <c r="L7" s="117" t="s">
        <v>966</v>
      </c>
      <c r="M7" s="117" t="s">
        <v>932</v>
      </c>
      <c r="N7" s="117" t="s">
        <v>932</v>
      </c>
      <c r="O7" s="117" t="s">
        <v>933</v>
      </c>
      <c r="P7" s="117" t="s">
        <v>934</v>
      </c>
      <c r="Q7" s="117" t="s">
        <v>934</v>
      </c>
      <c r="R7" s="117" t="s">
        <v>934</v>
      </c>
      <c r="S7" s="117" t="s">
        <v>934</v>
      </c>
      <c r="T7" s="119" t="s">
        <v>932</v>
      </c>
      <c r="U7" s="117" t="s">
        <v>932</v>
      </c>
      <c r="V7" s="117" t="s">
        <v>932</v>
      </c>
      <c r="W7" s="117" t="s">
        <v>932</v>
      </c>
      <c r="X7" s="117" t="s">
        <v>934</v>
      </c>
      <c r="Y7" s="117" t="s">
        <v>934</v>
      </c>
      <c r="Z7" s="117" t="s">
        <v>934</v>
      </c>
      <c r="AA7" s="117" t="s">
        <v>934</v>
      </c>
      <c r="AB7" s="117" t="s">
        <v>934</v>
      </c>
      <c r="AC7" s="117" t="s">
        <v>934</v>
      </c>
      <c r="AD7" s="117" t="s">
        <v>934</v>
      </c>
      <c r="AE7" s="117" t="s">
        <v>934</v>
      </c>
      <c r="AF7" s="117" t="s">
        <v>934</v>
      </c>
      <c r="AG7" s="117" t="s">
        <v>934</v>
      </c>
      <c r="AH7" s="117" t="s">
        <v>934</v>
      </c>
      <c r="AI7" s="117" t="s">
        <v>934</v>
      </c>
      <c r="AJ7" s="117" t="s">
        <v>990</v>
      </c>
      <c r="AK7" s="117" t="s">
        <v>991</v>
      </c>
      <c r="AL7" s="117" t="s">
        <v>943</v>
      </c>
      <c r="AM7" s="117" t="s">
        <v>992</v>
      </c>
      <c r="AN7" s="117" t="s">
        <v>932</v>
      </c>
      <c r="AO7" s="117" t="s">
        <v>993</v>
      </c>
    </row>
    <row r="8" spans="1:87" s="117" customFormat="1" ht="25.5">
      <c r="A8" s="114">
        <v>41730.372743055559</v>
      </c>
      <c r="B8" s="115">
        <v>41730.372743055559</v>
      </c>
      <c r="C8" s="114">
        <v>41730.372743055559</v>
      </c>
      <c r="D8" s="115">
        <v>41730.372743055559</v>
      </c>
      <c r="E8" s="116" t="s">
        <v>994</v>
      </c>
      <c r="F8" s="117" t="s">
        <v>963</v>
      </c>
      <c r="G8" s="117" t="s">
        <v>975</v>
      </c>
      <c r="H8" s="117">
        <v>9892697171</v>
      </c>
      <c r="I8" s="117">
        <v>507</v>
      </c>
      <c r="J8" s="118" t="s">
        <v>929</v>
      </c>
      <c r="K8" s="117">
        <v>2500</v>
      </c>
      <c r="L8" s="117" t="s">
        <v>931</v>
      </c>
      <c r="M8" s="117" t="s">
        <v>932</v>
      </c>
      <c r="N8" s="117" t="s">
        <v>932</v>
      </c>
      <c r="O8" s="117" t="s">
        <v>932</v>
      </c>
      <c r="P8" s="117" t="s">
        <v>932</v>
      </c>
      <c r="Q8" s="117" t="s">
        <v>934</v>
      </c>
      <c r="R8" s="117" t="s">
        <v>932</v>
      </c>
      <c r="S8" s="117" t="s">
        <v>932</v>
      </c>
      <c r="T8" s="119" t="s">
        <v>932</v>
      </c>
      <c r="U8" s="117" t="s">
        <v>932</v>
      </c>
      <c r="V8" s="117" t="s">
        <v>932</v>
      </c>
      <c r="W8" s="117" t="s">
        <v>932</v>
      </c>
      <c r="X8" s="117" t="s">
        <v>934</v>
      </c>
      <c r="Y8" s="117" t="s">
        <v>934</v>
      </c>
      <c r="Z8" s="117" t="s">
        <v>934</v>
      </c>
      <c r="AA8" s="117" t="s">
        <v>934</v>
      </c>
      <c r="AB8" s="117" t="s">
        <v>934</v>
      </c>
      <c r="AC8" s="117" t="s">
        <v>934</v>
      </c>
      <c r="AD8" s="117" t="s">
        <v>934</v>
      </c>
      <c r="AE8" s="117" t="s">
        <v>934</v>
      </c>
      <c r="AF8" s="117" t="s">
        <v>934</v>
      </c>
      <c r="AG8" s="117" t="s">
        <v>934</v>
      </c>
      <c r="AH8" s="117" t="s">
        <v>934</v>
      </c>
      <c r="AI8" s="117" t="s">
        <v>934</v>
      </c>
      <c r="AJ8" s="117" t="s">
        <v>990</v>
      </c>
      <c r="AK8" s="117" t="s">
        <v>995</v>
      </c>
      <c r="AL8" s="117" t="s">
        <v>943</v>
      </c>
      <c r="AM8" s="117" t="s">
        <v>957</v>
      </c>
      <c r="AN8" s="117" t="s">
        <v>932</v>
      </c>
      <c r="AO8" s="117" t="s">
        <v>996</v>
      </c>
      <c r="AP8" s="117" t="s">
        <v>956</v>
      </c>
      <c r="AQ8" s="117" t="s">
        <v>956</v>
      </c>
      <c r="AR8" s="117" t="s">
        <v>958</v>
      </c>
      <c r="AS8" s="117" t="s">
        <v>958</v>
      </c>
      <c r="AT8" s="117" t="s">
        <v>933</v>
      </c>
      <c r="AU8" s="117" t="s">
        <v>933</v>
      </c>
      <c r="AV8" s="117" t="s">
        <v>933</v>
      </c>
      <c r="AW8" s="117">
        <v>112</v>
      </c>
      <c r="AX8" s="117" t="s">
        <v>933</v>
      </c>
      <c r="AY8" s="117" t="s">
        <v>944</v>
      </c>
      <c r="AZ8" s="117" t="s">
        <v>944</v>
      </c>
      <c r="BA8" s="117" t="s">
        <v>932</v>
      </c>
      <c r="BB8" s="117" t="s">
        <v>932</v>
      </c>
      <c r="BC8" s="117" t="s">
        <v>932</v>
      </c>
      <c r="BD8" s="117" t="s">
        <v>932</v>
      </c>
      <c r="BE8" s="117" t="s">
        <v>932</v>
      </c>
      <c r="BF8" s="117">
        <v>0</v>
      </c>
      <c r="BG8" s="117" t="s">
        <v>932</v>
      </c>
      <c r="BH8" s="117">
        <v>15</v>
      </c>
      <c r="BI8" s="117" t="s">
        <v>983</v>
      </c>
      <c r="BJ8" s="117" t="s">
        <v>932</v>
      </c>
      <c r="BK8" s="117" t="s">
        <v>932</v>
      </c>
      <c r="BL8" s="117">
        <v>1</v>
      </c>
      <c r="BM8" s="117" t="s">
        <v>932</v>
      </c>
      <c r="BO8" s="117" t="s">
        <v>932</v>
      </c>
      <c r="BP8" s="117">
        <v>0</v>
      </c>
      <c r="BQ8" s="117" t="s">
        <v>932</v>
      </c>
      <c r="BS8" s="117">
        <v>200</v>
      </c>
      <c r="BT8" s="117" t="s">
        <v>946</v>
      </c>
      <c r="BU8" s="117" t="s">
        <v>932</v>
      </c>
      <c r="BV8" s="117">
        <v>507</v>
      </c>
      <c r="BW8" s="117" t="s">
        <v>1058</v>
      </c>
      <c r="BX8" s="117">
        <v>6.05</v>
      </c>
      <c r="BZ8" s="117" t="s">
        <v>190</v>
      </c>
      <c r="CB8" s="117" t="s">
        <v>932</v>
      </c>
      <c r="CC8" s="117" t="s">
        <v>1442</v>
      </c>
      <c r="CD8" s="117" t="s">
        <v>932</v>
      </c>
      <c r="CE8" s="117" t="s">
        <v>932</v>
      </c>
      <c r="CF8" s="117">
        <v>31</v>
      </c>
      <c r="CG8" s="117">
        <v>0.5</v>
      </c>
      <c r="CH8" s="117" t="s">
        <v>932</v>
      </c>
      <c r="CI8" s="117" t="s">
        <v>932</v>
      </c>
    </row>
    <row r="9" spans="1:87" s="117" customFormat="1" ht="25.5">
      <c r="A9" s="114">
        <v>41730.381724537037</v>
      </c>
      <c r="B9" s="115">
        <v>41730.381724537037</v>
      </c>
      <c r="C9" s="114"/>
      <c r="D9" s="115"/>
      <c r="E9" s="116" t="s">
        <v>997</v>
      </c>
      <c r="F9" s="117" t="s">
        <v>963</v>
      </c>
      <c r="G9" s="117" t="s">
        <v>975</v>
      </c>
      <c r="H9" s="117">
        <v>9892697171</v>
      </c>
      <c r="I9" s="117">
        <v>508</v>
      </c>
      <c r="J9" s="118" t="s">
        <v>998</v>
      </c>
      <c r="K9" s="117" t="s">
        <v>999</v>
      </c>
      <c r="L9" s="117" t="s">
        <v>966</v>
      </c>
      <c r="M9" s="117" t="s">
        <v>933</v>
      </c>
      <c r="N9" s="117" t="s">
        <v>932</v>
      </c>
      <c r="O9" s="117" t="s">
        <v>932</v>
      </c>
      <c r="P9" s="117" t="s">
        <v>932</v>
      </c>
      <c r="Q9" s="117" t="s">
        <v>934</v>
      </c>
      <c r="R9" s="117" t="s">
        <v>934</v>
      </c>
      <c r="S9" s="117" t="s">
        <v>934</v>
      </c>
      <c r="T9" s="119" t="s">
        <v>934</v>
      </c>
      <c r="U9" s="117" t="s">
        <v>932</v>
      </c>
      <c r="V9" s="117" t="s">
        <v>932</v>
      </c>
      <c r="W9" s="117" t="s">
        <v>932</v>
      </c>
      <c r="X9" s="117" t="s">
        <v>934</v>
      </c>
      <c r="Y9" s="117" t="s">
        <v>934</v>
      </c>
      <c r="Z9" s="117" t="s">
        <v>934</v>
      </c>
      <c r="AA9" s="117" t="s">
        <v>934</v>
      </c>
      <c r="AB9" s="117" t="s">
        <v>934</v>
      </c>
      <c r="AC9" s="117" t="s">
        <v>934</v>
      </c>
      <c r="AD9" s="117" t="s">
        <v>934</v>
      </c>
      <c r="AE9" s="117" t="s">
        <v>934</v>
      </c>
      <c r="AF9" s="117" t="s">
        <v>934</v>
      </c>
      <c r="AG9" s="117" t="s">
        <v>934</v>
      </c>
      <c r="AH9" s="117" t="s">
        <v>934</v>
      </c>
      <c r="AI9" s="117" t="s">
        <v>934</v>
      </c>
      <c r="AJ9" s="117" t="s">
        <v>943</v>
      </c>
      <c r="AK9" s="117" t="s">
        <v>1000</v>
      </c>
      <c r="AL9" s="117" t="s">
        <v>943</v>
      </c>
      <c r="AM9" s="117" t="s">
        <v>1001</v>
      </c>
      <c r="AN9" s="117" t="s">
        <v>932</v>
      </c>
      <c r="AO9" s="117" t="s">
        <v>1002</v>
      </c>
    </row>
    <row r="10" spans="1:87" s="117" customFormat="1" ht="25.5">
      <c r="A10" s="114">
        <v>41730.392546296294</v>
      </c>
      <c r="B10" s="115">
        <v>41730.392546296294</v>
      </c>
      <c r="C10" s="114">
        <v>41730.397118055553</v>
      </c>
      <c r="D10" s="115">
        <v>41730.397118055553</v>
      </c>
      <c r="E10" s="116" t="s">
        <v>1003</v>
      </c>
      <c r="F10" s="117" t="s">
        <v>963</v>
      </c>
      <c r="G10" s="117" t="s">
        <v>1004</v>
      </c>
      <c r="H10" s="117">
        <v>9892697171</v>
      </c>
      <c r="I10" s="117">
        <v>503</v>
      </c>
      <c r="J10" s="118" t="s">
        <v>1005</v>
      </c>
      <c r="K10" s="117" t="s">
        <v>1006</v>
      </c>
      <c r="L10" s="117" t="s">
        <v>951</v>
      </c>
      <c r="M10" s="117" t="s">
        <v>933</v>
      </c>
      <c r="N10" s="117" t="s">
        <v>932</v>
      </c>
      <c r="O10" s="117" t="s">
        <v>932</v>
      </c>
      <c r="P10" s="117" t="s">
        <v>934</v>
      </c>
      <c r="Q10" s="117" t="s">
        <v>934</v>
      </c>
      <c r="R10" s="117" t="s">
        <v>934</v>
      </c>
      <c r="S10" s="117" t="s">
        <v>934</v>
      </c>
      <c r="T10" s="119" t="s">
        <v>934</v>
      </c>
      <c r="U10" s="117" t="s">
        <v>932</v>
      </c>
      <c r="V10" s="117" t="s">
        <v>932</v>
      </c>
      <c r="W10" s="117" t="s">
        <v>932</v>
      </c>
      <c r="X10" s="117" t="s">
        <v>934</v>
      </c>
      <c r="Y10" s="117" t="s">
        <v>934</v>
      </c>
      <c r="Z10" s="117" t="s">
        <v>934</v>
      </c>
      <c r="AA10" s="117" t="s">
        <v>934</v>
      </c>
      <c r="AB10" s="117" t="s">
        <v>934</v>
      </c>
      <c r="AC10" s="117" t="s">
        <v>934</v>
      </c>
      <c r="AD10" s="117" t="s">
        <v>934</v>
      </c>
      <c r="AE10" s="117" t="s">
        <v>934</v>
      </c>
      <c r="AF10" s="117" t="s">
        <v>934</v>
      </c>
      <c r="AG10" s="117" t="s">
        <v>934</v>
      </c>
      <c r="AH10" s="117" t="s">
        <v>934</v>
      </c>
      <c r="AI10" s="117" t="s">
        <v>934</v>
      </c>
      <c r="AJ10" s="117" t="s">
        <v>943</v>
      </c>
      <c r="AK10" s="117" t="s">
        <v>1007</v>
      </c>
      <c r="AL10" s="117" t="s">
        <v>943</v>
      </c>
      <c r="AM10" s="117" t="s">
        <v>1008</v>
      </c>
      <c r="AN10" s="117" t="s">
        <v>951</v>
      </c>
      <c r="AO10" s="117" t="s">
        <v>1009</v>
      </c>
    </row>
    <row r="11" spans="1:87" s="117" customFormat="1" ht="25.5">
      <c r="A11" s="114">
        <v>41730.459166666667</v>
      </c>
      <c r="B11" s="115">
        <v>41730.459166666667</v>
      </c>
      <c r="C11" s="114"/>
      <c r="D11" s="115"/>
      <c r="E11" s="116" t="s">
        <v>1010</v>
      </c>
      <c r="J11" s="118"/>
      <c r="T11" s="119"/>
    </row>
    <row r="12" spans="1:87" s="117" customFormat="1" ht="25.5">
      <c r="A12" s="114">
        <v>41730.517280092594</v>
      </c>
      <c r="B12" s="115">
        <v>41730.517280092594</v>
      </c>
      <c r="C12" s="114">
        <v>41730.521932870368</v>
      </c>
      <c r="D12" s="115">
        <v>41730.521932870368</v>
      </c>
      <c r="E12" s="116" t="s">
        <v>1011</v>
      </c>
      <c r="F12" s="117" t="s">
        <v>1012</v>
      </c>
      <c r="G12" s="117" t="s">
        <v>1013</v>
      </c>
      <c r="H12" s="117">
        <v>5518880</v>
      </c>
      <c r="I12" s="117">
        <v>547</v>
      </c>
      <c r="J12" s="118" t="s">
        <v>998</v>
      </c>
      <c r="K12" s="117">
        <v>3500</v>
      </c>
      <c r="L12" s="117" t="s">
        <v>931</v>
      </c>
      <c r="M12" s="117" t="s">
        <v>932</v>
      </c>
      <c r="N12" s="117" t="s">
        <v>933</v>
      </c>
      <c r="O12" s="117" t="s">
        <v>932</v>
      </c>
      <c r="P12" s="117" t="s">
        <v>932</v>
      </c>
      <c r="Q12" s="117" t="s">
        <v>934</v>
      </c>
      <c r="R12" s="117" t="s">
        <v>934</v>
      </c>
      <c r="S12" s="117" t="s">
        <v>934</v>
      </c>
      <c r="T12" s="119" t="s">
        <v>933</v>
      </c>
      <c r="U12" s="117" t="s">
        <v>932</v>
      </c>
      <c r="V12" s="117" t="s">
        <v>932</v>
      </c>
      <c r="W12" s="117" t="s">
        <v>932</v>
      </c>
      <c r="X12" s="117" t="s">
        <v>934</v>
      </c>
      <c r="Y12" s="117" t="s">
        <v>934</v>
      </c>
      <c r="Z12" s="117" t="s">
        <v>934</v>
      </c>
      <c r="AA12" s="117" t="s">
        <v>934</v>
      </c>
      <c r="AB12" s="117" t="s">
        <v>934</v>
      </c>
      <c r="AC12" s="117" t="s">
        <v>934</v>
      </c>
      <c r="AD12" s="117" t="s">
        <v>934</v>
      </c>
      <c r="AE12" s="117" t="s">
        <v>934</v>
      </c>
      <c r="AF12" s="117" t="s">
        <v>934</v>
      </c>
      <c r="AG12" s="117" t="s">
        <v>934</v>
      </c>
      <c r="AH12" s="117" t="s">
        <v>934</v>
      </c>
      <c r="AI12" s="117" t="s">
        <v>934</v>
      </c>
      <c r="AJ12" s="117" t="s">
        <v>943</v>
      </c>
      <c r="AK12" s="117" t="s">
        <v>1014</v>
      </c>
      <c r="AL12" s="117" t="s">
        <v>943</v>
      </c>
      <c r="AM12" s="117" t="s">
        <v>1001</v>
      </c>
      <c r="AN12" s="117" t="s">
        <v>932</v>
      </c>
      <c r="AO12" s="117" t="s">
        <v>1015</v>
      </c>
    </row>
    <row r="13" spans="1:87" s="117" customFormat="1" ht="25.5">
      <c r="A13" s="114">
        <v>41730.522824074076</v>
      </c>
      <c r="B13" s="115">
        <v>41730.522824074076</v>
      </c>
      <c r="C13" s="114">
        <v>41730.529733796298</v>
      </c>
      <c r="D13" s="115">
        <v>41730.529733796298</v>
      </c>
      <c r="E13" s="116" t="s">
        <v>1016</v>
      </c>
      <c r="F13" s="117" t="s">
        <v>1017</v>
      </c>
      <c r="G13" s="117" t="s">
        <v>1013</v>
      </c>
      <c r="H13" s="117">
        <v>9895518880</v>
      </c>
      <c r="I13" s="117">
        <v>543</v>
      </c>
      <c r="J13" s="118" t="s">
        <v>1005</v>
      </c>
      <c r="K13" s="117" t="s">
        <v>1006</v>
      </c>
      <c r="L13" s="117" t="s">
        <v>966</v>
      </c>
      <c r="M13" s="117" t="s">
        <v>933</v>
      </c>
      <c r="N13" s="117" t="s">
        <v>932</v>
      </c>
      <c r="O13" s="117" t="s">
        <v>933</v>
      </c>
      <c r="P13" s="117" t="s">
        <v>932</v>
      </c>
      <c r="Q13" s="117" t="s">
        <v>934</v>
      </c>
      <c r="R13" s="117" t="s">
        <v>932</v>
      </c>
      <c r="S13" s="117" t="s">
        <v>932</v>
      </c>
      <c r="T13" s="119" t="s">
        <v>932</v>
      </c>
      <c r="U13" s="117" t="s">
        <v>932</v>
      </c>
      <c r="V13" s="117" t="s">
        <v>932</v>
      </c>
      <c r="W13" s="117" t="s">
        <v>932</v>
      </c>
      <c r="X13" s="117" t="s">
        <v>934</v>
      </c>
      <c r="Y13" s="117" t="s">
        <v>934</v>
      </c>
      <c r="Z13" s="117" t="s">
        <v>934</v>
      </c>
      <c r="AA13" s="117" t="s">
        <v>934</v>
      </c>
      <c r="AB13" s="117" t="s">
        <v>934</v>
      </c>
      <c r="AC13" s="117" t="s">
        <v>934</v>
      </c>
      <c r="AD13" s="117" t="s">
        <v>934</v>
      </c>
      <c r="AE13" s="117" t="s">
        <v>934</v>
      </c>
      <c r="AF13" s="117" t="s">
        <v>934</v>
      </c>
      <c r="AG13" s="117" t="s">
        <v>934</v>
      </c>
      <c r="AH13" s="117" t="s">
        <v>934</v>
      </c>
      <c r="AI13" s="117" t="s">
        <v>934</v>
      </c>
      <c r="AJ13" s="117" t="s">
        <v>1018</v>
      </c>
      <c r="AK13" s="117" t="s">
        <v>995</v>
      </c>
      <c r="AL13" s="117" t="s">
        <v>943</v>
      </c>
      <c r="AM13" s="117" t="s">
        <v>1019</v>
      </c>
      <c r="AN13" s="117" t="s">
        <v>932</v>
      </c>
      <c r="AO13" s="117" t="s">
        <v>1020</v>
      </c>
    </row>
    <row r="14" spans="1:87" s="117" customFormat="1" ht="25.5">
      <c r="A14" s="114">
        <v>41730.530763888892</v>
      </c>
      <c r="B14" s="115">
        <v>41730.530763888892</v>
      </c>
      <c r="C14" s="114">
        <v>41730.534791666665</v>
      </c>
      <c r="D14" s="115">
        <v>41730.534791666665</v>
      </c>
      <c r="E14" s="116" t="s">
        <v>1021</v>
      </c>
      <c r="F14" s="117" t="s">
        <v>1022</v>
      </c>
      <c r="G14" s="117" t="s">
        <v>1013</v>
      </c>
      <c r="H14" s="117">
        <v>9895518880</v>
      </c>
      <c r="I14" s="117">
        <v>544</v>
      </c>
      <c r="J14" s="118" t="s">
        <v>1023</v>
      </c>
      <c r="K14" s="117" t="s">
        <v>965</v>
      </c>
      <c r="L14" s="117" t="s">
        <v>966</v>
      </c>
      <c r="M14" s="117" t="s">
        <v>932</v>
      </c>
      <c r="N14" s="117" t="s">
        <v>932</v>
      </c>
      <c r="O14" s="117" t="s">
        <v>932</v>
      </c>
      <c r="P14" s="117" t="s">
        <v>932</v>
      </c>
      <c r="Q14" s="117" t="s">
        <v>934</v>
      </c>
      <c r="R14" s="117" t="s">
        <v>933</v>
      </c>
      <c r="S14" s="117" t="s">
        <v>932</v>
      </c>
      <c r="T14" s="119" t="s">
        <v>932</v>
      </c>
      <c r="U14" s="117" t="s">
        <v>932</v>
      </c>
      <c r="V14" s="117" t="s">
        <v>932</v>
      </c>
      <c r="W14" s="117" t="s">
        <v>932</v>
      </c>
      <c r="X14" s="117" t="s">
        <v>934</v>
      </c>
      <c r="Y14" s="117" t="s">
        <v>934</v>
      </c>
      <c r="Z14" s="117" t="s">
        <v>934</v>
      </c>
      <c r="AA14" s="117" t="s">
        <v>934</v>
      </c>
      <c r="AB14" s="117" t="s">
        <v>934</v>
      </c>
      <c r="AC14" s="117" t="s">
        <v>934</v>
      </c>
      <c r="AD14" s="117" t="s">
        <v>934</v>
      </c>
      <c r="AE14" s="117" t="s">
        <v>934</v>
      </c>
      <c r="AF14" s="117" t="s">
        <v>934</v>
      </c>
      <c r="AG14" s="117" t="s">
        <v>934</v>
      </c>
      <c r="AH14" s="117" t="s">
        <v>934</v>
      </c>
      <c r="AI14" s="117" t="s">
        <v>934</v>
      </c>
      <c r="AJ14" s="117" t="s">
        <v>943</v>
      </c>
      <c r="AK14" s="117" t="s">
        <v>1024</v>
      </c>
      <c r="AL14" s="117" t="s">
        <v>943</v>
      </c>
      <c r="AM14" s="117" t="s">
        <v>1008</v>
      </c>
      <c r="AN14" s="117" t="s">
        <v>932</v>
      </c>
      <c r="AO14" s="117" t="s">
        <v>1025</v>
      </c>
    </row>
    <row r="15" spans="1:87" s="117" customFormat="1" ht="25.5">
      <c r="A15" s="114">
        <v>41730.536423611113</v>
      </c>
      <c r="B15" s="115">
        <v>41730.536423611113</v>
      </c>
      <c r="C15" s="114">
        <v>41730.536435185182</v>
      </c>
      <c r="D15" s="115">
        <v>41730.536435185182</v>
      </c>
      <c r="E15" s="116" t="s">
        <v>1026</v>
      </c>
      <c r="F15" s="117" t="s">
        <v>1022</v>
      </c>
      <c r="G15" s="117" t="s">
        <v>1027</v>
      </c>
      <c r="H15" s="117">
        <v>9895518880</v>
      </c>
      <c r="I15" s="117">
        <v>546</v>
      </c>
      <c r="J15" s="118" t="s">
        <v>1023</v>
      </c>
      <c r="K15" s="117" t="s">
        <v>1028</v>
      </c>
      <c r="L15" s="117" t="s">
        <v>966</v>
      </c>
      <c r="M15" s="117" t="s">
        <v>932</v>
      </c>
      <c r="N15" s="117" t="s">
        <v>932</v>
      </c>
      <c r="O15" s="117" t="s">
        <v>932</v>
      </c>
      <c r="P15" s="117" t="s">
        <v>934</v>
      </c>
      <c r="Q15" s="117" t="s">
        <v>934</v>
      </c>
      <c r="R15" s="117" t="s">
        <v>934</v>
      </c>
      <c r="S15" s="117" t="s">
        <v>934</v>
      </c>
      <c r="T15" s="119" t="s">
        <v>933</v>
      </c>
      <c r="U15" s="117" t="s">
        <v>932</v>
      </c>
      <c r="V15" s="117" t="s">
        <v>932</v>
      </c>
      <c r="W15" s="117" t="s">
        <v>932</v>
      </c>
      <c r="X15" s="117" t="s">
        <v>934</v>
      </c>
      <c r="Y15" s="117" t="s">
        <v>934</v>
      </c>
      <c r="Z15" s="117" t="s">
        <v>934</v>
      </c>
      <c r="AA15" s="117" t="s">
        <v>934</v>
      </c>
      <c r="AB15" s="117" t="s">
        <v>934</v>
      </c>
      <c r="AC15" s="117" t="s">
        <v>934</v>
      </c>
      <c r="AD15" s="117" t="s">
        <v>934</v>
      </c>
      <c r="AE15" s="117" t="s">
        <v>934</v>
      </c>
      <c r="AF15" s="117" t="s">
        <v>934</v>
      </c>
      <c r="AG15" s="117" t="s">
        <v>934</v>
      </c>
      <c r="AH15" s="117" t="s">
        <v>934</v>
      </c>
      <c r="AI15" s="117" t="s">
        <v>934</v>
      </c>
      <c r="AJ15" s="117" t="s">
        <v>1029</v>
      </c>
      <c r="AK15" s="117" t="s">
        <v>1030</v>
      </c>
      <c r="AL15" s="117" t="s">
        <v>943</v>
      </c>
      <c r="AM15" s="117" t="s">
        <v>1001</v>
      </c>
      <c r="AN15" s="117" t="s">
        <v>932</v>
      </c>
      <c r="AO15" s="117" t="s">
        <v>1031</v>
      </c>
    </row>
    <row r="16" spans="1:87" s="117" customFormat="1" ht="25.5">
      <c r="A16" s="114">
        <v>41731.331944444442</v>
      </c>
      <c r="B16" s="115">
        <v>41731.331944444442</v>
      </c>
      <c r="C16" s="114">
        <v>41731.331967592596</v>
      </c>
      <c r="D16" s="115">
        <v>41731.331967592596</v>
      </c>
      <c r="E16" s="116" t="s">
        <v>1032</v>
      </c>
      <c r="F16" s="117" t="s">
        <v>963</v>
      </c>
      <c r="G16" s="117" t="s">
        <v>975</v>
      </c>
      <c r="H16" s="117">
        <v>9892697171</v>
      </c>
      <c r="I16" s="117" t="s">
        <v>1033</v>
      </c>
      <c r="J16" s="118" t="s">
        <v>1033</v>
      </c>
      <c r="K16" s="117" t="s">
        <v>1033</v>
      </c>
      <c r="T16" s="119"/>
      <c r="AN16" s="117" t="s">
        <v>932</v>
      </c>
      <c r="BU16" s="117" t="s">
        <v>932</v>
      </c>
      <c r="BV16" s="117">
        <v>500</v>
      </c>
      <c r="BX16" s="117" t="s">
        <v>1034</v>
      </c>
      <c r="CB16" s="117" t="s">
        <v>932</v>
      </c>
      <c r="CE16" s="117" t="s">
        <v>932</v>
      </c>
      <c r="CF16" s="117">
        <v>31</v>
      </c>
      <c r="CG16" s="117">
        <v>0.2</v>
      </c>
      <c r="CH16" s="117" t="s">
        <v>932</v>
      </c>
      <c r="CI16" s="117" t="s">
        <v>932</v>
      </c>
    </row>
    <row r="17" spans="1:87" s="117" customFormat="1" ht="25.5">
      <c r="A17" s="114">
        <v>41731.432326388887</v>
      </c>
      <c r="B17" s="115">
        <v>41731.432326388887</v>
      </c>
      <c r="C17" s="114"/>
      <c r="D17" s="115"/>
      <c r="E17" s="116" t="s">
        <v>1035</v>
      </c>
      <c r="J17" s="118"/>
      <c r="T17" s="119"/>
    </row>
    <row r="18" spans="1:87" s="117" customFormat="1" ht="25.5">
      <c r="A18" s="114">
        <v>41731.484849537039</v>
      </c>
      <c r="B18" s="115">
        <v>41731.484849537039</v>
      </c>
      <c r="C18" s="114">
        <v>41731.504826388889</v>
      </c>
      <c r="D18" s="115">
        <v>41731.504826388889</v>
      </c>
      <c r="E18" s="116" t="s">
        <v>1036</v>
      </c>
      <c r="F18" s="117" t="s">
        <v>963</v>
      </c>
      <c r="G18" s="117" t="s">
        <v>975</v>
      </c>
      <c r="H18" s="117">
        <v>9892697171</v>
      </c>
      <c r="I18" s="117">
        <v>503</v>
      </c>
      <c r="J18" s="118" t="s">
        <v>1005</v>
      </c>
      <c r="K18" s="117" t="s">
        <v>1006</v>
      </c>
      <c r="L18" s="117" t="s">
        <v>966</v>
      </c>
      <c r="T18" s="119"/>
      <c r="AK18" s="117" t="s">
        <v>1007</v>
      </c>
      <c r="AL18" s="117" t="s">
        <v>1037</v>
      </c>
      <c r="AM18" s="117" t="s">
        <v>1038</v>
      </c>
      <c r="AN18" s="117" t="s">
        <v>932</v>
      </c>
      <c r="AO18" s="117" t="s">
        <v>1039</v>
      </c>
      <c r="AP18" s="117" t="s">
        <v>981</v>
      </c>
      <c r="AQ18" s="117" t="s">
        <v>982</v>
      </c>
      <c r="AR18" s="117" t="s">
        <v>943</v>
      </c>
      <c r="AS18" s="117" t="s">
        <v>943</v>
      </c>
      <c r="AT18" s="117" t="s">
        <v>932</v>
      </c>
      <c r="AU18" s="117" t="s">
        <v>932</v>
      </c>
      <c r="AV18" s="117" t="s">
        <v>933</v>
      </c>
      <c r="AW18" s="117" t="s">
        <v>944</v>
      </c>
      <c r="AX18" s="117" t="s">
        <v>933</v>
      </c>
      <c r="AY18" s="117" t="s">
        <v>944</v>
      </c>
      <c r="AZ18" s="117">
        <v>2.9</v>
      </c>
      <c r="BA18" s="117" t="s">
        <v>932</v>
      </c>
      <c r="BB18" s="117" t="s">
        <v>932</v>
      </c>
      <c r="BC18" s="117" t="s">
        <v>932</v>
      </c>
      <c r="BD18" s="117" t="s">
        <v>932</v>
      </c>
      <c r="BE18" s="117" t="s">
        <v>932</v>
      </c>
      <c r="BF18" s="117">
        <v>1</v>
      </c>
      <c r="BG18" s="117" t="s">
        <v>932</v>
      </c>
      <c r="BH18" s="117">
        <v>15</v>
      </c>
      <c r="BI18" s="117" t="s">
        <v>1040</v>
      </c>
      <c r="BJ18" s="117" t="s">
        <v>932</v>
      </c>
      <c r="BK18" s="117" t="s">
        <v>932</v>
      </c>
      <c r="BL18" s="117">
        <v>1</v>
      </c>
      <c r="BM18" s="117" t="s">
        <v>932</v>
      </c>
      <c r="BN18" s="117" t="s">
        <v>932</v>
      </c>
      <c r="BO18" s="117" t="s">
        <v>932</v>
      </c>
      <c r="BP18" s="117">
        <v>2</v>
      </c>
      <c r="BQ18" s="117" t="s">
        <v>932</v>
      </c>
      <c r="BS18" s="117">
        <v>50</v>
      </c>
      <c r="BT18" s="117" t="s">
        <v>1041</v>
      </c>
      <c r="BU18" s="117" t="s">
        <v>932</v>
      </c>
      <c r="BV18" s="117">
        <v>503</v>
      </c>
      <c r="BW18" s="117" t="s">
        <v>1042</v>
      </c>
      <c r="BX18" s="117" t="s">
        <v>1043</v>
      </c>
      <c r="BZ18" s="117" t="s">
        <v>190</v>
      </c>
      <c r="CB18" s="117" t="s">
        <v>932</v>
      </c>
      <c r="CC18" s="117" t="s">
        <v>1442</v>
      </c>
      <c r="CD18" s="117" t="s">
        <v>932</v>
      </c>
      <c r="CF18" s="117">
        <v>31</v>
      </c>
      <c r="CG18" s="117">
        <v>1</v>
      </c>
      <c r="CH18" s="117" t="s">
        <v>932</v>
      </c>
      <c r="CI18" s="117" t="s">
        <v>932</v>
      </c>
    </row>
    <row r="19" spans="1:87" s="117" customFormat="1" ht="25.5">
      <c r="A19" s="114">
        <v>41731.514513888891</v>
      </c>
      <c r="B19" s="115">
        <v>41731.514513888891</v>
      </c>
      <c r="C19" s="114">
        <v>41731.51935185185</v>
      </c>
      <c r="D19" s="115">
        <v>41731.51935185185</v>
      </c>
      <c r="E19" s="116" t="s">
        <v>1044</v>
      </c>
      <c r="F19" s="117" t="s">
        <v>963</v>
      </c>
      <c r="G19" s="117" t="s">
        <v>1045</v>
      </c>
      <c r="H19" s="117">
        <v>9892697171</v>
      </c>
      <c r="I19" s="117">
        <v>508</v>
      </c>
      <c r="J19" s="118" t="s">
        <v>998</v>
      </c>
      <c r="K19" s="117" t="s">
        <v>1046</v>
      </c>
      <c r="L19" s="117" t="s">
        <v>966</v>
      </c>
      <c r="T19" s="119"/>
      <c r="AK19" s="117" t="s">
        <v>1047</v>
      </c>
      <c r="AL19" s="117" t="s">
        <v>943</v>
      </c>
      <c r="AM19" s="117" t="s">
        <v>992</v>
      </c>
      <c r="AN19" s="117" t="s">
        <v>932</v>
      </c>
      <c r="AP19" s="117" t="s">
        <v>981</v>
      </c>
      <c r="AQ19" s="117" t="s">
        <v>982</v>
      </c>
      <c r="AR19" s="117" t="s">
        <v>943</v>
      </c>
      <c r="AS19" s="117" t="s">
        <v>943</v>
      </c>
      <c r="AT19" s="117" t="s">
        <v>933</v>
      </c>
      <c r="AV19" s="117" t="s">
        <v>932</v>
      </c>
      <c r="AW19" s="117">
        <v>0.05</v>
      </c>
      <c r="AX19" s="117" t="s">
        <v>932</v>
      </c>
      <c r="AY19" s="117">
        <v>0.05</v>
      </c>
      <c r="AZ19" s="117">
        <v>0.05</v>
      </c>
      <c r="BA19" s="117" t="s">
        <v>932</v>
      </c>
      <c r="BB19" s="117" t="s">
        <v>932</v>
      </c>
      <c r="BC19" s="117" t="s">
        <v>932</v>
      </c>
      <c r="BD19" s="117" t="s">
        <v>932</v>
      </c>
      <c r="BE19" s="117" t="s">
        <v>932</v>
      </c>
      <c r="BF19" s="117">
        <v>0</v>
      </c>
      <c r="BG19" s="117" t="s">
        <v>932</v>
      </c>
      <c r="BH19" s="117">
        <v>15</v>
      </c>
      <c r="BI19" s="117" t="s">
        <v>1048</v>
      </c>
      <c r="BJ19" s="117" t="s">
        <v>945</v>
      </c>
      <c r="BK19" s="117" t="s">
        <v>932</v>
      </c>
      <c r="BL19" s="117">
        <v>1</v>
      </c>
      <c r="BM19" s="117" t="s">
        <v>932</v>
      </c>
      <c r="BO19" s="117" t="s">
        <v>932</v>
      </c>
      <c r="BP19" s="117">
        <v>0</v>
      </c>
      <c r="BQ19" s="117" t="s">
        <v>932</v>
      </c>
      <c r="BS19" s="117">
        <v>25</v>
      </c>
      <c r="BT19" s="117" t="s">
        <v>1049</v>
      </c>
      <c r="BU19" s="117" t="s">
        <v>932</v>
      </c>
      <c r="BV19" s="117">
        <v>508</v>
      </c>
      <c r="BX19" s="117">
        <v>6.05</v>
      </c>
      <c r="BZ19" s="117" t="s">
        <v>190</v>
      </c>
      <c r="CB19" s="117" t="s">
        <v>932</v>
      </c>
      <c r="CC19" s="117" t="s">
        <v>1443</v>
      </c>
      <c r="CD19" s="117" t="s">
        <v>932</v>
      </c>
      <c r="CE19" s="117" t="s">
        <v>932</v>
      </c>
      <c r="CF19" s="117">
        <v>31</v>
      </c>
      <c r="CG19" s="117">
        <v>1</v>
      </c>
      <c r="CH19" s="117" t="s">
        <v>932</v>
      </c>
      <c r="CI19" s="117" t="s">
        <v>932</v>
      </c>
    </row>
    <row r="20" spans="1:87" s="117" customFormat="1" ht="25.5">
      <c r="A20" s="114">
        <v>41731.525613425925</v>
      </c>
      <c r="B20" s="115">
        <v>41731.525613425925</v>
      </c>
      <c r="C20" s="114">
        <v>41731.553784722222</v>
      </c>
      <c r="D20" s="115">
        <v>41731.553784722222</v>
      </c>
      <c r="E20" s="116" t="s">
        <v>1050</v>
      </c>
      <c r="F20" s="117" t="s">
        <v>963</v>
      </c>
      <c r="G20" s="117" t="s">
        <v>1045</v>
      </c>
      <c r="H20" s="117">
        <v>9892697171</v>
      </c>
      <c r="I20" s="117">
        <v>505</v>
      </c>
      <c r="J20" s="118" t="s">
        <v>1051</v>
      </c>
      <c r="K20" s="117" t="s">
        <v>989</v>
      </c>
      <c r="L20" s="117" t="s">
        <v>966</v>
      </c>
      <c r="T20" s="119"/>
      <c r="AK20" s="117" t="s">
        <v>1052</v>
      </c>
      <c r="AL20" s="117" t="s">
        <v>943</v>
      </c>
      <c r="AM20" s="117" t="s">
        <v>992</v>
      </c>
      <c r="AN20" s="117" t="s">
        <v>932</v>
      </c>
      <c r="AO20" s="117" t="s">
        <v>1053</v>
      </c>
      <c r="AP20" s="117" t="s">
        <v>981</v>
      </c>
      <c r="AQ20" s="117" t="s">
        <v>982</v>
      </c>
      <c r="AR20" s="117" t="s">
        <v>943</v>
      </c>
      <c r="AS20" s="117" t="s">
        <v>943</v>
      </c>
      <c r="AT20" s="117" t="s">
        <v>933</v>
      </c>
      <c r="AU20" s="117" t="s">
        <v>932</v>
      </c>
      <c r="AV20" s="117" t="s">
        <v>933</v>
      </c>
      <c r="AW20" s="117" t="s">
        <v>944</v>
      </c>
      <c r="AX20" s="117" t="s">
        <v>933</v>
      </c>
      <c r="AY20" s="117" t="s">
        <v>944</v>
      </c>
      <c r="AZ20" s="117" t="s">
        <v>944</v>
      </c>
      <c r="BA20" s="117" t="s">
        <v>932</v>
      </c>
      <c r="BB20" s="117" t="s">
        <v>933</v>
      </c>
      <c r="BC20" s="117" t="s">
        <v>932</v>
      </c>
      <c r="BD20" s="117" t="s">
        <v>932</v>
      </c>
      <c r="BE20" s="117" t="s">
        <v>932</v>
      </c>
      <c r="BF20" s="117">
        <v>0</v>
      </c>
      <c r="BG20" s="117" t="s">
        <v>932</v>
      </c>
      <c r="BH20" s="117">
        <v>15</v>
      </c>
      <c r="BI20" s="117" t="s">
        <v>1054</v>
      </c>
      <c r="BJ20" s="117" t="s">
        <v>932</v>
      </c>
      <c r="BK20" s="117" t="s">
        <v>932</v>
      </c>
      <c r="BL20" s="117">
        <v>1</v>
      </c>
      <c r="BM20" s="117" t="s">
        <v>932</v>
      </c>
      <c r="BN20" s="117" t="s">
        <v>932</v>
      </c>
      <c r="BO20" s="117" t="s">
        <v>932</v>
      </c>
      <c r="BP20" s="117">
        <v>0</v>
      </c>
      <c r="BS20" s="117">
        <v>100</v>
      </c>
      <c r="BT20" s="117" t="s">
        <v>984</v>
      </c>
      <c r="BU20" s="117" t="s">
        <v>932</v>
      </c>
      <c r="BV20" s="117">
        <v>505</v>
      </c>
      <c r="BW20" s="117" t="s">
        <v>1055</v>
      </c>
      <c r="BX20" s="117">
        <v>6.05</v>
      </c>
      <c r="BZ20" s="117" t="s">
        <v>190</v>
      </c>
      <c r="CC20" s="117" t="s">
        <v>1442</v>
      </c>
      <c r="CD20" s="117" t="s">
        <v>932</v>
      </c>
      <c r="CE20" s="117" t="s">
        <v>932</v>
      </c>
      <c r="CF20" s="117">
        <v>31</v>
      </c>
      <c r="CG20" s="117">
        <v>0.5</v>
      </c>
      <c r="CH20" s="117" t="s">
        <v>932</v>
      </c>
      <c r="CI20" s="117" t="s">
        <v>932</v>
      </c>
    </row>
    <row r="21" spans="1:87" s="117" customFormat="1" ht="25.5">
      <c r="A21" s="114">
        <v>41732.461122685185</v>
      </c>
      <c r="B21" s="115">
        <v>41732.461122685185</v>
      </c>
      <c r="C21" s="114">
        <v>41732.468587962961</v>
      </c>
      <c r="D21" s="115">
        <v>41732.468587962961</v>
      </c>
      <c r="E21" s="116" t="s">
        <v>1059</v>
      </c>
      <c r="F21" s="117" t="s">
        <v>1060</v>
      </c>
      <c r="G21" s="117" t="s">
        <v>1061</v>
      </c>
      <c r="H21" s="117">
        <v>9759770505</v>
      </c>
      <c r="I21" s="117">
        <v>585</v>
      </c>
      <c r="J21" s="118" t="s">
        <v>1023</v>
      </c>
      <c r="K21" s="117" t="s">
        <v>977</v>
      </c>
      <c r="L21" s="117" t="s">
        <v>966</v>
      </c>
      <c r="M21" s="117" t="s">
        <v>932</v>
      </c>
      <c r="N21" s="117" t="s">
        <v>932</v>
      </c>
      <c r="O21" s="117" t="s">
        <v>932</v>
      </c>
      <c r="P21" s="117" t="s">
        <v>934</v>
      </c>
      <c r="Q21" s="117" t="s">
        <v>934</v>
      </c>
      <c r="R21" s="117" t="s">
        <v>934</v>
      </c>
      <c r="S21" s="117" t="s">
        <v>934</v>
      </c>
      <c r="T21" s="119" t="s">
        <v>934</v>
      </c>
      <c r="U21" s="117" t="s">
        <v>932</v>
      </c>
      <c r="V21" s="117" t="s">
        <v>932</v>
      </c>
      <c r="W21" s="117" t="s">
        <v>932</v>
      </c>
      <c r="X21" s="117" t="s">
        <v>934</v>
      </c>
      <c r="Y21" s="117" t="s">
        <v>934</v>
      </c>
      <c r="Z21" s="117" t="s">
        <v>934</v>
      </c>
      <c r="AA21" s="117" t="s">
        <v>934</v>
      </c>
      <c r="AB21" s="117" t="s">
        <v>934</v>
      </c>
      <c r="AC21" s="117" t="s">
        <v>934</v>
      </c>
      <c r="AD21" s="117" t="s">
        <v>934</v>
      </c>
      <c r="AE21" s="117" t="s">
        <v>934</v>
      </c>
      <c r="AF21" s="117" t="s">
        <v>934</v>
      </c>
      <c r="AG21" s="117" t="s">
        <v>934</v>
      </c>
      <c r="AH21" s="117" t="s">
        <v>934</v>
      </c>
      <c r="AI21" s="117" t="s">
        <v>934</v>
      </c>
      <c r="AJ21" s="117" t="s">
        <v>1062</v>
      </c>
      <c r="AK21" s="117" t="s">
        <v>1063</v>
      </c>
      <c r="AL21" s="117" t="s">
        <v>943</v>
      </c>
      <c r="AM21" s="117" t="s">
        <v>1064</v>
      </c>
      <c r="AN21" s="117" t="s">
        <v>932</v>
      </c>
      <c r="AO21" s="117" t="s">
        <v>1065</v>
      </c>
    </row>
    <row r="22" spans="1:87" s="117" customFormat="1" ht="25.5">
      <c r="A22" s="114">
        <v>41732.470497685186</v>
      </c>
      <c r="B22" s="115">
        <v>41732.470497685186</v>
      </c>
      <c r="C22" s="114">
        <v>41732.475902777776</v>
      </c>
      <c r="D22" s="115">
        <v>41732.475902777776</v>
      </c>
      <c r="E22" s="116" t="s">
        <v>1066</v>
      </c>
      <c r="F22" s="117" t="s">
        <v>360</v>
      </c>
      <c r="G22" s="117" t="s">
        <v>1061</v>
      </c>
      <c r="I22" s="117">
        <v>584</v>
      </c>
      <c r="J22" s="118" t="s">
        <v>1067</v>
      </c>
      <c r="K22" s="117" t="s">
        <v>965</v>
      </c>
      <c r="L22" s="117" t="s">
        <v>966</v>
      </c>
      <c r="M22" s="117" t="s">
        <v>932</v>
      </c>
      <c r="N22" s="117" t="s">
        <v>932</v>
      </c>
      <c r="O22" s="117" t="s">
        <v>932</v>
      </c>
      <c r="P22" s="117" t="s">
        <v>934</v>
      </c>
      <c r="Q22" s="117" t="s">
        <v>934</v>
      </c>
      <c r="R22" s="117" t="s">
        <v>934</v>
      </c>
      <c r="S22" s="117" t="s">
        <v>934</v>
      </c>
      <c r="T22" s="119" t="s">
        <v>932</v>
      </c>
      <c r="U22" s="117" t="s">
        <v>932</v>
      </c>
      <c r="V22" s="117" t="s">
        <v>932</v>
      </c>
      <c r="W22" s="117" t="s">
        <v>932</v>
      </c>
      <c r="X22" s="117" t="s">
        <v>934</v>
      </c>
      <c r="Y22" s="117" t="s">
        <v>934</v>
      </c>
      <c r="Z22" s="117" t="s">
        <v>934</v>
      </c>
      <c r="AA22" s="117" t="s">
        <v>934</v>
      </c>
      <c r="AB22" s="117" t="s">
        <v>934</v>
      </c>
      <c r="AC22" s="117" t="s">
        <v>934</v>
      </c>
      <c r="AD22" s="117" t="s">
        <v>934</v>
      </c>
      <c r="AE22" s="117" t="s">
        <v>934</v>
      </c>
      <c r="AF22" s="117" t="s">
        <v>934</v>
      </c>
      <c r="AG22" s="117" t="s">
        <v>934</v>
      </c>
      <c r="AH22" s="117" t="s">
        <v>934</v>
      </c>
      <c r="AI22" s="117" t="s">
        <v>934</v>
      </c>
      <c r="AJ22" s="117" t="s">
        <v>1062</v>
      </c>
      <c r="AK22" s="117" t="s">
        <v>1063</v>
      </c>
      <c r="AL22" s="117" t="s">
        <v>943</v>
      </c>
      <c r="AM22" s="117" t="s">
        <v>1001</v>
      </c>
      <c r="AN22" s="117" t="s">
        <v>951</v>
      </c>
      <c r="AO22" s="117" t="s">
        <v>1068</v>
      </c>
    </row>
    <row r="23" spans="1:87" s="117" customFormat="1" ht="25.5">
      <c r="A23" s="114">
        <v>41732.479953703703</v>
      </c>
      <c r="B23" s="115">
        <v>41732.479953703703</v>
      </c>
      <c r="C23" s="114">
        <v>41732.485081018516</v>
      </c>
      <c r="D23" s="115">
        <v>41732.485081018516</v>
      </c>
      <c r="E23" s="116" t="s">
        <v>1069</v>
      </c>
      <c r="F23" s="117" t="s">
        <v>1070</v>
      </c>
      <c r="G23" s="117" t="s">
        <v>1061</v>
      </c>
      <c r="I23" s="117">
        <v>583</v>
      </c>
      <c r="J23" s="118" t="s">
        <v>1071</v>
      </c>
      <c r="K23" s="117" t="s">
        <v>1072</v>
      </c>
      <c r="L23" s="117" t="s">
        <v>966</v>
      </c>
      <c r="M23" s="117" t="s">
        <v>932</v>
      </c>
      <c r="N23" s="117" t="s">
        <v>932</v>
      </c>
      <c r="O23" s="117" t="s">
        <v>933</v>
      </c>
      <c r="P23" s="117" t="s">
        <v>933</v>
      </c>
      <c r="Q23" s="117" t="s">
        <v>934</v>
      </c>
      <c r="R23" s="117" t="s">
        <v>934</v>
      </c>
      <c r="S23" s="117" t="s">
        <v>934</v>
      </c>
      <c r="T23" s="119" t="s">
        <v>932</v>
      </c>
      <c r="U23" s="117" t="s">
        <v>932</v>
      </c>
      <c r="V23" s="117" t="s">
        <v>932</v>
      </c>
      <c r="W23" s="117" t="s">
        <v>932</v>
      </c>
      <c r="X23" s="117" t="s">
        <v>934</v>
      </c>
      <c r="Y23" s="117" t="s">
        <v>951</v>
      </c>
      <c r="Z23" s="117" t="s">
        <v>951</v>
      </c>
      <c r="AA23" s="117" t="s">
        <v>951</v>
      </c>
      <c r="AB23" s="117" t="s">
        <v>951</v>
      </c>
      <c r="AC23" s="117" t="s">
        <v>951</v>
      </c>
      <c r="AD23" s="117" t="s">
        <v>951</v>
      </c>
      <c r="AE23" s="117" t="s">
        <v>951</v>
      </c>
      <c r="AF23" s="117" t="s">
        <v>951</v>
      </c>
      <c r="AG23" s="117" t="s">
        <v>951</v>
      </c>
      <c r="AH23" s="117" t="s">
        <v>951</v>
      </c>
      <c r="AI23" s="117" t="s">
        <v>951</v>
      </c>
      <c r="AJ23" s="117" t="s">
        <v>943</v>
      </c>
      <c r="AK23" s="117" t="s">
        <v>1063</v>
      </c>
      <c r="AL23" s="117" t="s">
        <v>943</v>
      </c>
      <c r="AM23" s="117" t="s">
        <v>1073</v>
      </c>
      <c r="AN23" s="117" t="s">
        <v>932</v>
      </c>
      <c r="AO23" s="117" t="s">
        <v>1074</v>
      </c>
    </row>
    <row r="24" spans="1:87" s="117" customFormat="1" ht="25.5">
      <c r="A24" s="114">
        <v>41732.59269675926</v>
      </c>
      <c r="B24" s="115">
        <v>41732.59269675926</v>
      </c>
      <c r="C24" s="114"/>
      <c r="D24" s="115"/>
      <c r="E24" s="116" t="s">
        <v>1075</v>
      </c>
      <c r="F24" s="117" t="s">
        <v>1076</v>
      </c>
      <c r="G24" s="117" t="s">
        <v>1027</v>
      </c>
      <c r="H24" s="117">
        <v>9895518880</v>
      </c>
      <c r="I24" s="117">
        <v>543</v>
      </c>
      <c r="J24" s="118" t="s">
        <v>1005</v>
      </c>
      <c r="K24" s="117" t="s">
        <v>1006</v>
      </c>
      <c r="L24" s="117" t="s">
        <v>966</v>
      </c>
      <c r="T24" s="119"/>
      <c r="AK24" s="117" t="s">
        <v>1077</v>
      </c>
      <c r="AL24" s="117" t="s">
        <v>1078</v>
      </c>
      <c r="AM24" s="117" t="s">
        <v>1079</v>
      </c>
      <c r="AN24" s="117" t="s">
        <v>932</v>
      </c>
      <c r="AP24" s="117" t="s">
        <v>1080</v>
      </c>
      <c r="AQ24" s="117" t="s">
        <v>1081</v>
      </c>
      <c r="AS24" s="117" t="s">
        <v>943</v>
      </c>
      <c r="AT24" s="117" t="s">
        <v>933</v>
      </c>
      <c r="AU24" s="117" t="s">
        <v>932</v>
      </c>
      <c r="AV24" s="117" t="s">
        <v>933</v>
      </c>
      <c r="AW24" s="117" t="s">
        <v>944</v>
      </c>
      <c r="AX24" s="117" t="s">
        <v>933</v>
      </c>
      <c r="AY24" s="117">
        <v>249</v>
      </c>
      <c r="AZ24" s="117">
        <v>750</v>
      </c>
      <c r="BA24" s="117" t="s">
        <v>932</v>
      </c>
      <c r="BB24" s="117" t="s">
        <v>932</v>
      </c>
      <c r="BC24" s="117" t="s">
        <v>932</v>
      </c>
      <c r="BD24" s="117" t="s">
        <v>932</v>
      </c>
      <c r="BE24" s="117" t="s">
        <v>932</v>
      </c>
      <c r="BF24" s="117" t="s">
        <v>1082</v>
      </c>
      <c r="BG24" s="117" t="s">
        <v>932</v>
      </c>
      <c r="BH24" s="117">
        <v>15</v>
      </c>
      <c r="BI24" s="117" t="s">
        <v>1083</v>
      </c>
      <c r="BJ24" s="117" t="s">
        <v>932</v>
      </c>
      <c r="BK24" s="117" t="s">
        <v>932</v>
      </c>
      <c r="BL24" s="117">
        <v>1</v>
      </c>
      <c r="BM24" s="117" t="s">
        <v>932</v>
      </c>
      <c r="BN24" s="117" t="s">
        <v>932</v>
      </c>
      <c r="BO24" s="117" t="s">
        <v>932</v>
      </c>
      <c r="BP24" s="117" t="s">
        <v>1082</v>
      </c>
      <c r="BQ24" s="117" t="s">
        <v>933</v>
      </c>
      <c r="BS24" s="117">
        <v>50</v>
      </c>
      <c r="BT24" s="117" t="s">
        <v>946</v>
      </c>
      <c r="BU24" s="117" t="s">
        <v>932</v>
      </c>
      <c r="BV24" s="117">
        <v>543</v>
      </c>
      <c r="BW24" s="117" t="s">
        <v>1084</v>
      </c>
      <c r="BX24" s="117">
        <v>6.05</v>
      </c>
      <c r="BY24" s="117" t="s">
        <v>190</v>
      </c>
      <c r="CB24" s="117" t="s">
        <v>932</v>
      </c>
      <c r="CC24" s="117" t="s">
        <v>1443</v>
      </c>
      <c r="CD24" s="117" t="s">
        <v>932</v>
      </c>
      <c r="CE24" s="117" t="s">
        <v>932</v>
      </c>
      <c r="CF24" s="117">
        <v>26</v>
      </c>
      <c r="CG24" s="117">
        <v>1.4</v>
      </c>
      <c r="CH24" s="117" t="s">
        <v>932</v>
      </c>
      <c r="CI24" s="117" t="s">
        <v>932</v>
      </c>
    </row>
    <row r="25" spans="1:87" s="117" customFormat="1" ht="25.5">
      <c r="A25" s="114">
        <v>41732.633344907408</v>
      </c>
      <c r="B25" s="115">
        <v>41732.633344907408</v>
      </c>
      <c r="C25" s="114">
        <v>41732.652962962966</v>
      </c>
      <c r="D25" s="115">
        <v>41732.652962962966</v>
      </c>
      <c r="E25" s="116" t="s">
        <v>1085</v>
      </c>
      <c r="F25" s="117" t="s">
        <v>1076</v>
      </c>
      <c r="G25" s="117" t="s">
        <v>1027</v>
      </c>
      <c r="H25" s="117">
        <v>9895518880</v>
      </c>
      <c r="I25" s="117">
        <v>547</v>
      </c>
      <c r="J25" s="118" t="s">
        <v>1086</v>
      </c>
      <c r="K25" s="117">
        <v>3500</v>
      </c>
      <c r="L25" s="117" t="s">
        <v>931</v>
      </c>
      <c r="T25" s="119"/>
      <c r="AK25" s="117" t="s">
        <v>1087</v>
      </c>
      <c r="AL25" s="117" t="s">
        <v>1078</v>
      </c>
      <c r="AM25" s="117" t="s">
        <v>1088</v>
      </c>
      <c r="AN25" s="117" t="s">
        <v>932</v>
      </c>
      <c r="AO25" s="117" t="s">
        <v>1089</v>
      </c>
      <c r="AP25" s="117" t="s">
        <v>1090</v>
      </c>
      <c r="AQ25" s="117" t="s">
        <v>1081</v>
      </c>
      <c r="AS25" s="117" t="s">
        <v>1078</v>
      </c>
      <c r="AT25" s="117" t="s">
        <v>933</v>
      </c>
      <c r="AU25" s="117" t="s">
        <v>932</v>
      </c>
      <c r="AV25" s="117" t="s">
        <v>933</v>
      </c>
      <c r="AW25" s="117" t="s">
        <v>944</v>
      </c>
      <c r="AX25" s="117" t="s">
        <v>932</v>
      </c>
      <c r="AY25" s="117">
        <v>0.1</v>
      </c>
      <c r="AZ25" s="117">
        <v>0.1</v>
      </c>
      <c r="BA25" s="117" t="s">
        <v>932</v>
      </c>
      <c r="BB25" s="117" t="s">
        <v>932</v>
      </c>
      <c r="BC25" s="117" t="s">
        <v>932</v>
      </c>
      <c r="BD25" s="117" t="s">
        <v>932</v>
      </c>
      <c r="BE25" s="117" t="s">
        <v>932</v>
      </c>
      <c r="BF25" s="117">
        <v>1</v>
      </c>
      <c r="BG25" s="117" t="s">
        <v>932</v>
      </c>
      <c r="BH25" s="117">
        <v>15</v>
      </c>
      <c r="BI25" s="117" t="s">
        <v>1083</v>
      </c>
      <c r="BJ25" s="117" t="s">
        <v>932</v>
      </c>
      <c r="BK25" s="117" t="s">
        <v>932</v>
      </c>
      <c r="BL25" s="117">
        <v>1</v>
      </c>
      <c r="BM25" s="117" t="s">
        <v>932</v>
      </c>
      <c r="BN25" s="117" t="s">
        <v>932</v>
      </c>
      <c r="BO25" s="117" t="s">
        <v>932</v>
      </c>
      <c r="BP25" s="117" t="s">
        <v>1082</v>
      </c>
      <c r="BQ25" s="117" t="s">
        <v>932</v>
      </c>
      <c r="BS25" s="117">
        <v>150</v>
      </c>
      <c r="BT25" s="117" t="s">
        <v>946</v>
      </c>
      <c r="BV25" s="117">
        <v>547</v>
      </c>
      <c r="BW25" s="117" t="s">
        <v>1091</v>
      </c>
      <c r="BX25" s="117">
        <v>6.05</v>
      </c>
      <c r="BY25" s="117" t="s">
        <v>190</v>
      </c>
      <c r="CC25" s="117" t="s">
        <v>1443</v>
      </c>
      <c r="CD25" s="117" t="s">
        <v>932</v>
      </c>
      <c r="CE25" s="117" t="s">
        <v>932</v>
      </c>
      <c r="CF25" s="117">
        <v>30</v>
      </c>
      <c r="CG25" s="117">
        <v>0.5</v>
      </c>
      <c r="CH25" s="117" t="s">
        <v>932</v>
      </c>
      <c r="CI25" s="117" t="s">
        <v>932</v>
      </c>
    </row>
    <row r="26" spans="1:87" s="117" customFormat="1" ht="25.5">
      <c r="A26" s="114">
        <v>41732.691689814812</v>
      </c>
      <c r="B26" s="115">
        <v>41732.691689814812</v>
      </c>
      <c r="C26" s="114">
        <v>41732.691747685189</v>
      </c>
      <c r="D26" s="115">
        <v>41732.691747685189</v>
      </c>
      <c r="E26" s="116" t="s">
        <v>1092</v>
      </c>
      <c r="J26" s="118"/>
      <c r="T26" s="119"/>
    </row>
    <row r="27" spans="1:87" s="117" customFormat="1" ht="25.5">
      <c r="A27" s="114">
        <v>41732.706979166665</v>
      </c>
      <c r="B27" s="115">
        <v>41732.706979166665</v>
      </c>
      <c r="C27" s="114">
        <v>41732.710995370369</v>
      </c>
      <c r="D27" s="115">
        <v>41732.710995370369</v>
      </c>
      <c r="E27" s="116" t="s">
        <v>1093</v>
      </c>
      <c r="F27" s="117" t="s">
        <v>1076</v>
      </c>
      <c r="G27" s="117" t="s">
        <v>1027</v>
      </c>
      <c r="H27" s="117">
        <v>9895518880</v>
      </c>
      <c r="I27" s="117">
        <v>544</v>
      </c>
      <c r="J27" s="118" t="s">
        <v>1023</v>
      </c>
      <c r="K27" s="117" t="s">
        <v>1094</v>
      </c>
      <c r="L27" s="117" t="s">
        <v>966</v>
      </c>
      <c r="T27" s="119"/>
      <c r="AK27" s="117" t="s">
        <v>1095</v>
      </c>
      <c r="AL27" s="117" t="s">
        <v>1078</v>
      </c>
      <c r="AM27" s="117" t="s">
        <v>1088</v>
      </c>
      <c r="AN27" s="117" t="s">
        <v>932</v>
      </c>
      <c r="AP27" s="117" t="s">
        <v>1080</v>
      </c>
      <c r="AQ27" s="117" t="s">
        <v>1081</v>
      </c>
      <c r="AS27" s="117" t="s">
        <v>1078</v>
      </c>
      <c r="AT27" s="117" t="s">
        <v>933</v>
      </c>
      <c r="AU27" s="117" t="s">
        <v>932</v>
      </c>
      <c r="AV27" s="117" t="s">
        <v>933</v>
      </c>
      <c r="AW27" s="117">
        <v>21</v>
      </c>
      <c r="AX27" s="117" t="s">
        <v>933</v>
      </c>
      <c r="AY27" s="117" t="s">
        <v>944</v>
      </c>
      <c r="AZ27" s="117">
        <v>21</v>
      </c>
      <c r="BA27" s="117" t="s">
        <v>932</v>
      </c>
      <c r="BB27" s="117" t="s">
        <v>932</v>
      </c>
      <c r="BC27" s="117" t="s">
        <v>932</v>
      </c>
      <c r="BD27" s="117" t="s">
        <v>932</v>
      </c>
      <c r="BE27" s="117" t="s">
        <v>932</v>
      </c>
      <c r="BF27" s="117">
        <v>0</v>
      </c>
      <c r="BG27" s="117" t="s">
        <v>933</v>
      </c>
      <c r="BH27" s="117">
        <v>15</v>
      </c>
      <c r="BI27" s="117" t="s">
        <v>1095</v>
      </c>
      <c r="BJ27" s="117" t="s">
        <v>932</v>
      </c>
      <c r="BK27" s="117" t="s">
        <v>932</v>
      </c>
      <c r="BL27" s="117">
        <v>1</v>
      </c>
      <c r="BM27" s="117" t="s">
        <v>932</v>
      </c>
      <c r="BO27" s="117" t="s">
        <v>932</v>
      </c>
      <c r="BP27" s="117">
        <v>2</v>
      </c>
      <c r="BQ27" s="117" t="s">
        <v>933</v>
      </c>
      <c r="BS27" s="117">
        <v>50</v>
      </c>
      <c r="BT27" s="117" t="s">
        <v>946</v>
      </c>
      <c r="BU27" s="117" t="s">
        <v>932</v>
      </c>
      <c r="BV27" s="117">
        <v>544</v>
      </c>
      <c r="BW27" s="117" t="s">
        <v>1096</v>
      </c>
      <c r="BX27" s="117">
        <v>6.05</v>
      </c>
      <c r="BY27" s="117" t="s">
        <v>190</v>
      </c>
      <c r="CB27" s="117" t="s">
        <v>932</v>
      </c>
      <c r="CC27" s="117" t="s">
        <v>1443</v>
      </c>
      <c r="CD27" s="117" t="s">
        <v>932</v>
      </c>
      <c r="CE27" s="117" t="s">
        <v>932</v>
      </c>
      <c r="CF27" s="117">
        <v>30</v>
      </c>
      <c r="CG27" s="117">
        <v>0.5</v>
      </c>
      <c r="CH27" s="117" t="s">
        <v>932</v>
      </c>
      <c r="CI27" s="117" t="s">
        <v>932</v>
      </c>
    </row>
    <row r="28" spans="1:87" s="117" customFormat="1" ht="25.5">
      <c r="A28" s="114">
        <v>41732.712002314816</v>
      </c>
      <c r="B28" s="115">
        <v>41732.712002314816</v>
      </c>
      <c r="C28" s="114">
        <v>41732.718587962961</v>
      </c>
      <c r="D28" s="115">
        <v>41732.718587962961</v>
      </c>
      <c r="E28" s="116" t="s">
        <v>1097</v>
      </c>
      <c r="F28" s="117" t="s">
        <v>1076</v>
      </c>
      <c r="G28" s="117" t="s">
        <v>1027</v>
      </c>
      <c r="H28" s="117">
        <v>9895518880</v>
      </c>
      <c r="I28" s="117">
        <v>546</v>
      </c>
      <c r="J28" s="118" t="s">
        <v>1023</v>
      </c>
      <c r="K28" s="117" t="s">
        <v>1098</v>
      </c>
      <c r="L28" s="117" t="s">
        <v>966</v>
      </c>
      <c r="T28" s="119"/>
      <c r="AK28" s="117" t="s">
        <v>1030</v>
      </c>
      <c r="AL28" s="117" t="s">
        <v>943</v>
      </c>
      <c r="AM28" s="117" t="s">
        <v>1088</v>
      </c>
      <c r="AN28" s="117" t="s">
        <v>932</v>
      </c>
      <c r="AP28" s="117" t="s">
        <v>1080</v>
      </c>
      <c r="AQ28" s="117" t="s">
        <v>1081</v>
      </c>
      <c r="AT28" s="117" t="s">
        <v>933</v>
      </c>
      <c r="AU28" s="117" t="s">
        <v>932</v>
      </c>
      <c r="AV28" s="117" t="s">
        <v>933</v>
      </c>
      <c r="AW28" s="117">
        <v>70</v>
      </c>
      <c r="AX28" s="117" t="s">
        <v>933</v>
      </c>
      <c r="AY28" s="117" t="s">
        <v>944</v>
      </c>
      <c r="AZ28" s="117">
        <v>70</v>
      </c>
      <c r="BA28" s="117" t="s">
        <v>932</v>
      </c>
      <c r="BB28" s="117" t="s">
        <v>932</v>
      </c>
      <c r="BC28" s="117" t="s">
        <v>932</v>
      </c>
      <c r="BD28" s="117" t="s">
        <v>932</v>
      </c>
      <c r="BF28" s="117">
        <v>1</v>
      </c>
      <c r="BG28" s="117" t="s">
        <v>932</v>
      </c>
      <c r="BH28" s="117">
        <v>15</v>
      </c>
      <c r="BI28" s="117" t="s">
        <v>1083</v>
      </c>
      <c r="BJ28" s="117" t="s">
        <v>932</v>
      </c>
      <c r="BK28" s="117" t="s">
        <v>932</v>
      </c>
      <c r="BL28" s="117">
        <v>1</v>
      </c>
      <c r="BM28" s="117" t="s">
        <v>932</v>
      </c>
      <c r="BN28" s="117" t="s">
        <v>932</v>
      </c>
      <c r="BP28" s="117">
        <v>0</v>
      </c>
      <c r="BQ28" s="117" t="s">
        <v>933</v>
      </c>
      <c r="BS28" s="117">
        <v>30</v>
      </c>
      <c r="BT28" s="117" t="s">
        <v>946</v>
      </c>
      <c r="BU28" s="117" t="s">
        <v>932</v>
      </c>
      <c r="BV28" s="117">
        <v>546</v>
      </c>
      <c r="BW28" s="117" t="s">
        <v>1099</v>
      </c>
      <c r="BX28" s="117">
        <v>6.05</v>
      </c>
      <c r="BY28" s="117" t="s">
        <v>190</v>
      </c>
      <c r="CB28" s="117" t="s">
        <v>932</v>
      </c>
      <c r="CC28" s="117" t="s">
        <v>1443</v>
      </c>
      <c r="CD28" s="117" t="s">
        <v>932</v>
      </c>
      <c r="CE28" s="117" t="s">
        <v>932</v>
      </c>
      <c r="CF28" s="117">
        <v>30</v>
      </c>
      <c r="CG28" s="117">
        <v>0.5</v>
      </c>
      <c r="CH28" s="117" t="s">
        <v>932</v>
      </c>
      <c r="CI28" s="117" t="s">
        <v>932</v>
      </c>
    </row>
    <row r="29" spans="1:87" s="117" customFormat="1" ht="25.5">
      <c r="A29" s="114">
        <v>41733.391944444447</v>
      </c>
      <c r="B29" s="115">
        <v>41733.391944444447</v>
      </c>
      <c r="C29" s="114">
        <v>41733.413576388892</v>
      </c>
      <c r="D29" s="115">
        <v>41733.413576388892</v>
      </c>
      <c r="E29" s="116" t="s">
        <v>1100</v>
      </c>
      <c r="F29" s="117" t="s">
        <v>360</v>
      </c>
      <c r="G29" s="117" t="s">
        <v>1101</v>
      </c>
      <c r="I29" s="117">
        <v>585</v>
      </c>
      <c r="J29" s="118" t="s">
        <v>1023</v>
      </c>
      <c r="K29" s="117" t="s">
        <v>977</v>
      </c>
      <c r="L29" s="117" t="s">
        <v>966</v>
      </c>
      <c r="T29" s="119"/>
      <c r="AK29" s="117" t="s">
        <v>1057</v>
      </c>
      <c r="AL29" s="117" t="s">
        <v>943</v>
      </c>
      <c r="AM29" s="117" t="s">
        <v>992</v>
      </c>
      <c r="AN29" s="117" t="s">
        <v>932</v>
      </c>
      <c r="AP29" s="117" t="s">
        <v>1102</v>
      </c>
      <c r="AQ29" s="117" t="s">
        <v>982</v>
      </c>
      <c r="AR29" s="117" t="s">
        <v>1103</v>
      </c>
      <c r="AS29" s="117" t="s">
        <v>1104</v>
      </c>
      <c r="AT29" s="117" t="s">
        <v>933</v>
      </c>
      <c r="AU29" s="117" t="s">
        <v>933</v>
      </c>
      <c r="AV29" s="117" t="s">
        <v>932</v>
      </c>
      <c r="AW29" s="117">
        <v>0.2</v>
      </c>
      <c r="AX29" s="117" t="s">
        <v>933</v>
      </c>
      <c r="AY29" s="117" t="s">
        <v>944</v>
      </c>
      <c r="AZ29" s="117">
        <v>0.2</v>
      </c>
      <c r="BA29" s="117" t="s">
        <v>932</v>
      </c>
      <c r="BB29" s="117" t="s">
        <v>932</v>
      </c>
      <c r="BC29" s="117" t="s">
        <v>932</v>
      </c>
      <c r="BD29" s="117" t="s">
        <v>932</v>
      </c>
      <c r="BE29" s="117" t="s">
        <v>932</v>
      </c>
      <c r="BF29" s="117">
        <v>1</v>
      </c>
      <c r="BG29" s="117" t="s">
        <v>932</v>
      </c>
      <c r="BH29" s="117" t="s">
        <v>1105</v>
      </c>
      <c r="BI29" s="117" t="s">
        <v>1106</v>
      </c>
      <c r="BJ29" s="117" t="s">
        <v>933</v>
      </c>
      <c r="BK29" s="117" t="s">
        <v>933</v>
      </c>
      <c r="BL29" s="117">
        <v>1</v>
      </c>
      <c r="BM29" s="117" t="s">
        <v>932</v>
      </c>
      <c r="BO29" s="117" t="s">
        <v>932</v>
      </c>
      <c r="BP29" s="117">
        <v>0</v>
      </c>
      <c r="BR29" s="117">
        <v>50</v>
      </c>
      <c r="BT29" s="117" t="s">
        <v>946</v>
      </c>
      <c r="BU29" s="117" t="s">
        <v>932</v>
      </c>
      <c r="BW29" s="117" t="s">
        <v>1107</v>
      </c>
      <c r="BX29" s="117">
        <v>6.05</v>
      </c>
      <c r="BY29" s="117" t="s">
        <v>190</v>
      </c>
      <c r="CB29" s="117" t="s">
        <v>932</v>
      </c>
      <c r="CC29" s="117" t="s">
        <v>1443</v>
      </c>
      <c r="CD29" s="117" t="s">
        <v>932</v>
      </c>
      <c r="CE29" s="117" t="s">
        <v>932</v>
      </c>
      <c r="CF29" s="117">
        <v>31</v>
      </c>
      <c r="CG29" s="117">
        <v>0.5</v>
      </c>
      <c r="CH29" s="117" t="s">
        <v>932</v>
      </c>
      <c r="CI29" s="117" t="s">
        <v>932</v>
      </c>
    </row>
    <row r="30" spans="1:87" s="117" customFormat="1" ht="25.5">
      <c r="A30" s="114">
        <v>41733.429212962961</v>
      </c>
      <c r="B30" s="115">
        <v>41733.429212962961</v>
      </c>
      <c r="C30" s="114">
        <v>41733.455590277779</v>
      </c>
      <c r="D30" s="115">
        <v>41733.455590277779</v>
      </c>
      <c r="E30" s="116" t="s">
        <v>1108</v>
      </c>
      <c r="F30" s="117" t="s">
        <v>1109</v>
      </c>
      <c r="G30" s="117" t="s">
        <v>1110</v>
      </c>
      <c r="I30" s="117">
        <v>584</v>
      </c>
      <c r="J30" s="118" t="s">
        <v>1111</v>
      </c>
      <c r="K30" s="117" t="s">
        <v>965</v>
      </c>
      <c r="L30" s="117" t="s">
        <v>966</v>
      </c>
      <c r="T30" s="119"/>
      <c r="AK30" s="117" t="s">
        <v>1112</v>
      </c>
      <c r="AL30" s="117" t="s">
        <v>937</v>
      </c>
      <c r="AM30" s="117" t="s">
        <v>1113</v>
      </c>
      <c r="AN30" s="117" t="s">
        <v>932</v>
      </c>
      <c r="AP30" s="117" t="s">
        <v>1102</v>
      </c>
      <c r="AQ30" s="117" t="s">
        <v>982</v>
      </c>
      <c r="AR30" s="117" t="s">
        <v>1113</v>
      </c>
      <c r="AS30" s="117" t="s">
        <v>937</v>
      </c>
      <c r="AU30" s="117" t="s">
        <v>932</v>
      </c>
      <c r="AV30" s="117" t="s">
        <v>933</v>
      </c>
      <c r="AX30" s="117" t="s">
        <v>932</v>
      </c>
      <c r="AY30" s="117">
        <v>0.2</v>
      </c>
      <c r="AZ30" s="117">
        <v>0.2</v>
      </c>
      <c r="BA30" s="117" t="s">
        <v>932</v>
      </c>
      <c r="BB30" s="117" t="s">
        <v>932</v>
      </c>
      <c r="BC30" s="117" t="s">
        <v>932</v>
      </c>
      <c r="BD30" s="117" t="s">
        <v>932</v>
      </c>
      <c r="BE30" s="117" t="s">
        <v>932</v>
      </c>
      <c r="BF30" s="117">
        <v>0</v>
      </c>
      <c r="BG30" s="117" t="s">
        <v>932</v>
      </c>
      <c r="BH30" s="117">
        <v>15</v>
      </c>
      <c r="BI30" s="117" t="s">
        <v>1114</v>
      </c>
      <c r="BJ30" s="117" t="s">
        <v>933</v>
      </c>
      <c r="BK30" s="117" t="s">
        <v>932</v>
      </c>
      <c r="BL30" s="117">
        <v>1</v>
      </c>
      <c r="BM30" s="117" t="s">
        <v>932</v>
      </c>
      <c r="BN30" s="117" t="s">
        <v>932</v>
      </c>
      <c r="BO30" s="117" t="s">
        <v>932</v>
      </c>
      <c r="BP30" s="117">
        <v>0</v>
      </c>
      <c r="BQ30" s="117" t="s">
        <v>932</v>
      </c>
      <c r="BR30" s="117">
        <v>0</v>
      </c>
      <c r="BS30" s="117">
        <v>0</v>
      </c>
      <c r="BT30" s="117" t="s">
        <v>946</v>
      </c>
      <c r="BU30" s="117" t="s">
        <v>932</v>
      </c>
      <c r="BW30" s="117" t="s">
        <v>1115</v>
      </c>
      <c r="BX30" s="117" t="s">
        <v>1116</v>
      </c>
      <c r="BY30" s="117" t="s">
        <v>190</v>
      </c>
      <c r="CB30" s="117" t="s">
        <v>932</v>
      </c>
      <c r="CC30" s="117" t="s">
        <v>1443</v>
      </c>
      <c r="CD30" s="117" t="s">
        <v>932</v>
      </c>
      <c r="CE30" s="117" t="s">
        <v>932</v>
      </c>
      <c r="CF30" s="117">
        <v>31</v>
      </c>
      <c r="CG30" s="117">
        <v>2</v>
      </c>
      <c r="CH30" s="117" t="s">
        <v>932</v>
      </c>
      <c r="CI30" s="117" t="s">
        <v>932</v>
      </c>
    </row>
    <row r="31" spans="1:87" s="117" customFormat="1" ht="25.5">
      <c r="A31" s="114">
        <v>41733.460706018515</v>
      </c>
      <c r="B31" s="115">
        <v>41733.460706018515</v>
      </c>
      <c r="C31" s="114">
        <v>41733.478738425925</v>
      </c>
      <c r="D31" s="115">
        <v>41733.478738425925</v>
      </c>
      <c r="E31" s="116" t="s">
        <v>1117</v>
      </c>
      <c r="F31" s="117" t="s">
        <v>1109</v>
      </c>
      <c r="G31" s="117" t="s">
        <v>1118</v>
      </c>
      <c r="I31" s="117">
        <v>583</v>
      </c>
      <c r="J31" s="118" t="s">
        <v>1119</v>
      </c>
      <c r="K31" s="117" t="s">
        <v>1120</v>
      </c>
      <c r="L31" s="117" t="s">
        <v>931</v>
      </c>
      <c r="T31" s="119"/>
      <c r="AK31" s="117" t="s">
        <v>1063</v>
      </c>
      <c r="AL31" s="117" t="s">
        <v>943</v>
      </c>
      <c r="AM31" s="117" t="s">
        <v>1121</v>
      </c>
      <c r="AN31" s="117" t="s">
        <v>932</v>
      </c>
      <c r="AP31" s="117" t="s">
        <v>1122</v>
      </c>
      <c r="AQ31" s="117" t="s">
        <v>982</v>
      </c>
      <c r="AR31" s="117" t="s">
        <v>943</v>
      </c>
      <c r="AS31" s="117" t="s">
        <v>1123</v>
      </c>
      <c r="AU31" s="117" t="s">
        <v>933</v>
      </c>
      <c r="AV31" s="117" t="s">
        <v>933</v>
      </c>
      <c r="AX31" s="117" t="s">
        <v>933</v>
      </c>
      <c r="AY31" s="117">
        <v>92</v>
      </c>
      <c r="BA31" s="117" t="s">
        <v>932</v>
      </c>
      <c r="BB31" s="117" t="s">
        <v>932</v>
      </c>
      <c r="BC31" s="117" t="s">
        <v>932</v>
      </c>
      <c r="BD31" s="117" t="s">
        <v>932</v>
      </c>
      <c r="BE31" s="117" t="s">
        <v>932</v>
      </c>
      <c r="BF31" s="117">
        <v>0</v>
      </c>
      <c r="BG31" s="117" t="s">
        <v>932</v>
      </c>
      <c r="BH31" s="117">
        <v>15</v>
      </c>
      <c r="BI31" s="117" t="s">
        <v>1124</v>
      </c>
      <c r="BK31" s="117" t="s">
        <v>932</v>
      </c>
      <c r="BL31" s="117">
        <v>1</v>
      </c>
      <c r="BM31" s="117" t="s">
        <v>932</v>
      </c>
      <c r="BN31" s="117" t="s">
        <v>932</v>
      </c>
      <c r="BO31" s="117" t="s">
        <v>932</v>
      </c>
      <c r="BP31" s="117">
        <v>0</v>
      </c>
      <c r="BQ31" s="117" t="s">
        <v>933</v>
      </c>
      <c r="BR31" s="117">
        <v>0</v>
      </c>
      <c r="BS31" s="117">
        <v>0</v>
      </c>
      <c r="BT31" s="117" t="s">
        <v>946</v>
      </c>
      <c r="BW31" s="117" t="s">
        <v>1125</v>
      </c>
      <c r="BX31" s="117">
        <v>6.05</v>
      </c>
      <c r="BY31" s="117" t="s">
        <v>190</v>
      </c>
      <c r="CB31" s="117" t="s">
        <v>932</v>
      </c>
      <c r="CC31" s="117" t="s">
        <v>1443</v>
      </c>
      <c r="CD31" s="117" t="s">
        <v>932</v>
      </c>
      <c r="CE31" s="117" t="s">
        <v>932</v>
      </c>
      <c r="CF31" s="117">
        <v>29</v>
      </c>
      <c r="CG31" s="117">
        <v>0.5</v>
      </c>
      <c r="CH31" s="117" t="s">
        <v>932</v>
      </c>
      <c r="CI31" s="117" t="s">
        <v>932</v>
      </c>
    </row>
    <row r="32" spans="1:87" s="117" customFormat="1" ht="25.5">
      <c r="A32" s="114">
        <v>41733.496689814812</v>
      </c>
      <c r="B32" s="115">
        <v>41733.496689814812</v>
      </c>
      <c r="C32" s="114">
        <v>41733.499212962961</v>
      </c>
      <c r="D32" s="115">
        <v>41733.499212962961</v>
      </c>
      <c r="E32" s="116" t="s">
        <v>1126</v>
      </c>
      <c r="J32" s="118"/>
      <c r="T32" s="119"/>
      <c r="BT32" s="117" t="s">
        <v>946</v>
      </c>
      <c r="BU32" s="117" t="s">
        <v>932</v>
      </c>
      <c r="BV32" s="117">
        <v>580</v>
      </c>
      <c r="BW32" s="117" t="s">
        <v>1127</v>
      </c>
      <c r="BX32" s="117">
        <v>6.05</v>
      </c>
      <c r="BY32" s="117" t="s">
        <v>190</v>
      </c>
      <c r="CB32" s="117" t="s">
        <v>932</v>
      </c>
      <c r="CC32" s="117" t="s">
        <v>1443</v>
      </c>
      <c r="CD32" s="117" t="s">
        <v>932</v>
      </c>
      <c r="CE32" s="117" t="s">
        <v>932</v>
      </c>
      <c r="CF32" s="117">
        <v>30</v>
      </c>
      <c r="CG32" s="117">
        <v>0.5</v>
      </c>
      <c r="CH32" s="117" t="s">
        <v>932</v>
      </c>
      <c r="CI32" s="117" t="s">
        <v>932</v>
      </c>
    </row>
    <row r="33" spans="1:41" s="117" customFormat="1" ht="25.5">
      <c r="A33" s="114">
        <v>41736.401770833334</v>
      </c>
      <c r="B33" s="115">
        <v>41736.401770833334</v>
      </c>
      <c r="C33" s="114">
        <v>41736</v>
      </c>
      <c r="D33" s="115">
        <v>0.41344907407407411</v>
      </c>
      <c r="E33" s="116" t="s">
        <v>1128</v>
      </c>
      <c r="F33" s="117" t="s">
        <v>1129</v>
      </c>
      <c r="G33" s="117" t="s">
        <v>1130</v>
      </c>
      <c r="H33" s="117">
        <v>9895500669</v>
      </c>
      <c r="I33" s="117">
        <v>527</v>
      </c>
      <c r="J33" s="118" t="s">
        <v>964</v>
      </c>
      <c r="K33" s="117" t="s">
        <v>1098</v>
      </c>
      <c r="L33" s="117" t="s">
        <v>966</v>
      </c>
      <c r="M33" s="117" t="s">
        <v>932</v>
      </c>
      <c r="N33" s="117" t="s">
        <v>932</v>
      </c>
      <c r="O33" s="117" t="s">
        <v>932</v>
      </c>
      <c r="P33" s="117" t="s">
        <v>934</v>
      </c>
      <c r="Q33" s="117" t="s">
        <v>934</v>
      </c>
      <c r="R33" s="117" t="s">
        <v>934</v>
      </c>
      <c r="S33" s="117" t="s">
        <v>934</v>
      </c>
      <c r="T33" s="119" t="s">
        <v>934</v>
      </c>
      <c r="U33" s="117" t="s">
        <v>932</v>
      </c>
      <c r="V33" s="117" t="s">
        <v>932</v>
      </c>
      <c r="W33" s="117" t="s">
        <v>932</v>
      </c>
      <c r="X33" s="117" t="s">
        <v>934</v>
      </c>
      <c r="Y33" s="117" t="s">
        <v>934</v>
      </c>
      <c r="Z33" s="117" t="s">
        <v>934</v>
      </c>
      <c r="AA33" s="117" t="s">
        <v>934</v>
      </c>
      <c r="AB33" s="117" t="s">
        <v>934</v>
      </c>
      <c r="AC33" s="117" t="s">
        <v>934</v>
      </c>
      <c r="AD33" s="117" t="s">
        <v>934</v>
      </c>
      <c r="AE33" s="117" t="s">
        <v>934</v>
      </c>
      <c r="AF33" s="117" t="s">
        <v>934</v>
      </c>
      <c r="AG33" s="117" t="s">
        <v>934</v>
      </c>
      <c r="AH33" s="117" t="s">
        <v>934</v>
      </c>
      <c r="AI33" s="117" t="s">
        <v>934</v>
      </c>
      <c r="AJ33" s="117" t="s">
        <v>1078</v>
      </c>
      <c r="AK33" s="117" t="s">
        <v>1063</v>
      </c>
      <c r="AL33" s="117" t="s">
        <v>1078</v>
      </c>
      <c r="AM33" s="117" t="s">
        <v>1131</v>
      </c>
      <c r="AN33" s="117" t="s">
        <v>932</v>
      </c>
    </row>
    <row r="34" spans="1:41" s="117" customFormat="1" ht="25.5">
      <c r="A34" s="114">
        <v>41736.41846064815</v>
      </c>
      <c r="B34" s="115">
        <v>41736.41846064815</v>
      </c>
      <c r="C34" s="114">
        <v>41736</v>
      </c>
      <c r="D34" s="115">
        <v>0.42276620370370371</v>
      </c>
      <c r="E34" s="116" t="s">
        <v>1132</v>
      </c>
      <c r="F34" s="117" t="s">
        <v>1133</v>
      </c>
      <c r="G34" s="117" t="s">
        <v>1130</v>
      </c>
      <c r="H34" s="117">
        <v>9895500669</v>
      </c>
      <c r="I34" s="117">
        <v>521</v>
      </c>
      <c r="J34" s="118" t="s">
        <v>998</v>
      </c>
      <c r="K34" s="117" t="s">
        <v>1134</v>
      </c>
      <c r="L34" s="117" t="s">
        <v>931</v>
      </c>
      <c r="M34" s="117" t="s">
        <v>932</v>
      </c>
      <c r="N34" s="117" t="s">
        <v>932</v>
      </c>
      <c r="O34" s="117" t="s">
        <v>932</v>
      </c>
      <c r="P34" s="117" t="s">
        <v>932</v>
      </c>
      <c r="Q34" s="117" t="s">
        <v>934</v>
      </c>
      <c r="R34" s="117" t="s">
        <v>932</v>
      </c>
      <c r="S34" s="117" t="s">
        <v>932</v>
      </c>
      <c r="T34" s="119" t="s">
        <v>934</v>
      </c>
      <c r="U34" s="117" t="s">
        <v>932</v>
      </c>
      <c r="V34" s="117" t="s">
        <v>934</v>
      </c>
      <c r="W34" s="117" t="s">
        <v>932</v>
      </c>
      <c r="X34" s="117" t="s">
        <v>934</v>
      </c>
      <c r="Y34" s="117" t="s">
        <v>932</v>
      </c>
      <c r="Z34" s="117" t="s">
        <v>934</v>
      </c>
      <c r="AA34" s="117" t="s">
        <v>934</v>
      </c>
      <c r="AB34" s="117" t="s">
        <v>934</v>
      </c>
      <c r="AC34" s="117" t="s">
        <v>934</v>
      </c>
      <c r="AD34" s="117" t="s">
        <v>934</v>
      </c>
      <c r="AE34" s="117" t="s">
        <v>934</v>
      </c>
      <c r="AF34" s="117" t="s">
        <v>934</v>
      </c>
      <c r="AG34" s="117" t="s">
        <v>934</v>
      </c>
      <c r="AH34" s="117" t="s">
        <v>934</v>
      </c>
      <c r="AI34" s="117" t="s">
        <v>934</v>
      </c>
      <c r="AJ34" s="117" t="s">
        <v>943</v>
      </c>
      <c r="AK34" s="117" t="s">
        <v>1135</v>
      </c>
      <c r="AL34" s="117" t="s">
        <v>943</v>
      </c>
      <c r="AM34" s="117" t="s">
        <v>1136</v>
      </c>
      <c r="AN34" s="117" t="s">
        <v>951</v>
      </c>
      <c r="AO34" s="117" t="s">
        <v>1137</v>
      </c>
    </row>
    <row r="35" spans="1:41" s="117" customFormat="1" ht="25.5">
      <c r="A35" s="114">
        <v>41736.423483796294</v>
      </c>
      <c r="B35" s="115">
        <v>41736.423483796294</v>
      </c>
      <c r="C35" s="114">
        <v>41736</v>
      </c>
      <c r="D35" s="115">
        <v>0.4485763888888889</v>
      </c>
      <c r="E35" s="116" t="s">
        <v>1138</v>
      </c>
      <c r="F35" s="117" t="s">
        <v>1133</v>
      </c>
      <c r="G35" s="117" t="s">
        <v>1130</v>
      </c>
      <c r="H35" s="117">
        <v>9895500669</v>
      </c>
      <c r="I35" s="117">
        <v>524</v>
      </c>
      <c r="J35" s="118" t="s">
        <v>964</v>
      </c>
      <c r="K35" s="117" t="s">
        <v>1139</v>
      </c>
      <c r="L35" s="117" t="s">
        <v>966</v>
      </c>
      <c r="M35" s="117" t="s">
        <v>932</v>
      </c>
      <c r="N35" s="117" t="s">
        <v>932</v>
      </c>
      <c r="O35" s="117" t="s">
        <v>932</v>
      </c>
      <c r="P35" s="117" t="s">
        <v>934</v>
      </c>
      <c r="Q35" s="117" t="s">
        <v>934</v>
      </c>
      <c r="R35" s="117" t="s">
        <v>934</v>
      </c>
      <c r="S35" s="117" t="s">
        <v>934</v>
      </c>
      <c r="T35" s="119" t="s">
        <v>934</v>
      </c>
      <c r="U35" s="117" t="s">
        <v>932</v>
      </c>
      <c r="V35" s="117" t="s">
        <v>932</v>
      </c>
      <c r="W35" s="117" t="s">
        <v>932</v>
      </c>
      <c r="X35" s="117" t="s">
        <v>934</v>
      </c>
      <c r="Y35" s="117" t="s">
        <v>934</v>
      </c>
      <c r="Z35" s="117" t="s">
        <v>934</v>
      </c>
      <c r="AA35" s="117" t="s">
        <v>934</v>
      </c>
      <c r="AB35" s="117" t="s">
        <v>934</v>
      </c>
      <c r="AC35" s="117" t="s">
        <v>934</v>
      </c>
      <c r="AD35" s="117" t="s">
        <v>932</v>
      </c>
      <c r="AE35" s="117" t="s">
        <v>934</v>
      </c>
      <c r="AF35" s="117" t="s">
        <v>934</v>
      </c>
      <c r="AG35" s="117" t="s">
        <v>934</v>
      </c>
      <c r="AH35" s="117" t="s">
        <v>934</v>
      </c>
      <c r="AI35" s="117" t="s">
        <v>934</v>
      </c>
      <c r="AJ35" s="117" t="s">
        <v>1140</v>
      </c>
      <c r="AK35" s="117" t="s">
        <v>1141</v>
      </c>
      <c r="AL35" s="117" t="s">
        <v>1078</v>
      </c>
      <c r="AM35" s="117" t="s">
        <v>1088</v>
      </c>
      <c r="AN35" s="117" t="s">
        <v>932</v>
      </c>
    </row>
    <row r="36" spans="1:41" s="117" customFormat="1" ht="25.5">
      <c r="A36" s="114">
        <v>41736.450127314813</v>
      </c>
      <c r="B36" s="115">
        <v>41736.450127314813</v>
      </c>
      <c r="C36" s="114">
        <v>41736.45480324074</v>
      </c>
      <c r="D36" s="115">
        <v>41736.45480324074</v>
      </c>
      <c r="E36" s="116" t="s">
        <v>1142</v>
      </c>
      <c r="F36" s="117" t="s">
        <v>1133</v>
      </c>
      <c r="G36" s="117" t="s">
        <v>1143</v>
      </c>
      <c r="H36" s="117">
        <v>9895500669</v>
      </c>
      <c r="I36" s="117">
        <v>528</v>
      </c>
      <c r="J36" s="118" t="s">
        <v>1144</v>
      </c>
      <c r="K36" s="117">
        <v>250</v>
      </c>
      <c r="L36" s="117" t="s">
        <v>931</v>
      </c>
      <c r="M36" s="117" t="s">
        <v>932</v>
      </c>
      <c r="N36" s="117" t="s">
        <v>932</v>
      </c>
      <c r="O36" s="117" t="s">
        <v>932</v>
      </c>
      <c r="P36" s="117" t="s">
        <v>932</v>
      </c>
      <c r="Q36" s="117" t="s">
        <v>934</v>
      </c>
      <c r="R36" s="117" t="s">
        <v>934</v>
      </c>
      <c r="S36" s="117" t="s">
        <v>934</v>
      </c>
      <c r="T36" s="119" t="s">
        <v>934</v>
      </c>
      <c r="U36" s="117" t="s">
        <v>932</v>
      </c>
      <c r="V36" s="117" t="s">
        <v>932</v>
      </c>
      <c r="W36" s="117" t="s">
        <v>932</v>
      </c>
      <c r="X36" s="117" t="s">
        <v>934</v>
      </c>
      <c r="Y36" s="117" t="s">
        <v>934</v>
      </c>
      <c r="Z36" s="117" t="s">
        <v>934</v>
      </c>
      <c r="AA36" s="117" t="s">
        <v>934</v>
      </c>
      <c r="AB36" s="117" t="s">
        <v>934</v>
      </c>
      <c r="AC36" s="117" t="s">
        <v>934</v>
      </c>
      <c r="AD36" s="117" t="s">
        <v>934</v>
      </c>
      <c r="AE36" s="117" t="s">
        <v>934</v>
      </c>
      <c r="AF36" s="117" t="s">
        <v>934</v>
      </c>
      <c r="AG36" s="117" t="s">
        <v>934</v>
      </c>
      <c r="AH36" s="117" t="s">
        <v>934</v>
      </c>
      <c r="AI36" s="117" t="s">
        <v>934</v>
      </c>
      <c r="AJ36" s="117" t="s">
        <v>943</v>
      </c>
      <c r="AK36" s="117" t="s">
        <v>1135</v>
      </c>
      <c r="AL36" s="117" t="s">
        <v>1078</v>
      </c>
      <c r="AM36" s="117" t="s">
        <v>1088</v>
      </c>
      <c r="AN36" s="117" t="s">
        <v>932</v>
      </c>
    </row>
    <row r="37" spans="1:41" s="117" customFormat="1" ht="25.5">
      <c r="A37" s="114">
        <v>41736.456226851849</v>
      </c>
      <c r="B37" s="115">
        <v>41736.456226851849</v>
      </c>
      <c r="C37" s="114">
        <v>41736.458877314813</v>
      </c>
      <c r="D37" s="115">
        <v>41736.458877314813</v>
      </c>
      <c r="E37" s="116" t="s">
        <v>1145</v>
      </c>
      <c r="F37" s="117" t="s">
        <v>1133</v>
      </c>
      <c r="G37" s="117" t="s">
        <v>1130</v>
      </c>
      <c r="H37" s="117">
        <v>9895500669</v>
      </c>
      <c r="I37" s="117">
        <v>523</v>
      </c>
      <c r="J37" s="118" t="s">
        <v>1023</v>
      </c>
      <c r="K37" s="117" t="s">
        <v>1006</v>
      </c>
      <c r="L37" s="117" t="s">
        <v>966</v>
      </c>
      <c r="M37" s="117" t="s">
        <v>932</v>
      </c>
      <c r="N37" s="117" t="s">
        <v>932</v>
      </c>
      <c r="O37" s="117" t="s">
        <v>932</v>
      </c>
      <c r="P37" s="117" t="s">
        <v>934</v>
      </c>
      <c r="Q37" s="117" t="s">
        <v>934</v>
      </c>
      <c r="R37" s="117" t="s">
        <v>934</v>
      </c>
      <c r="S37" s="117" t="s">
        <v>934</v>
      </c>
      <c r="T37" s="119" t="s">
        <v>934</v>
      </c>
      <c r="U37" s="117" t="s">
        <v>932</v>
      </c>
      <c r="V37" s="117" t="s">
        <v>932</v>
      </c>
      <c r="W37" s="117" t="s">
        <v>932</v>
      </c>
      <c r="X37" s="117" t="s">
        <v>934</v>
      </c>
      <c r="Y37" s="117" t="s">
        <v>934</v>
      </c>
      <c r="Z37" s="117" t="s">
        <v>934</v>
      </c>
      <c r="AA37" s="117" t="s">
        <v>934</v>
      </c>
      <c r="AB37" s="117" t="s">
        <v>934</v>
      </c>
      <c r="AC37" s="117" t="s">
        <v>934</v>
      </c>
      <c r="AD37" s="117" t="s">
        <v>934</v>
      </c>
      <c r="AE37" s="117" t="s">
        <v>934</v>
      </c>
      <c r="AF37" s="117" t="s">
        <v>934</v>
      </c>
      <c r="AG37" s="117" t="s">
        <v>934</v>
      </c>
      <c r="AH37" s="117" t="s">
        <v>934</v>
      </c>
      <c r="AI37" s="117" t="s">
        <v>934</v>
      </c>
      <c r="AJ37" s="117" t="s">
        <v>943</v>
      </c>
      <c r="AK37" s="117" t="s">
        <v>1146</v>
      </c>
      <c r="AL37" s="117" t="s">
        <v>1078</v>
      </c>
      <c r="AM37" s="117" t="s">
        <v>1088</v>
      </c>
      <c r="AN37" s="117" t="s">
        <v>932</v>
      </c>
    </row>
    <row r="38" spans="1:41" s="117" customFormat="1" ht="25.5">
      <c r="A38" s="114">
        <v>41736.46261574074</v>
      </c>
      <c r="B38" s="115">
        <v>41736.46261574074</v>
      </c>
      <c r="C38" s="114">
        <v>41736.465509259258</v>
      </c>
      <c r="D38" s="115">
        <v>41736.465509259258</v>
      </c>
      <c r="E38" s="116" t="s">
        <v>1147</v>
      </c>
      <c r="F38" s="117" t="s">
        <v>1133</v>
      </c>
      <c r="G38" s="117" t="s">
        <v>1130</v>
      </c>
      <c r="H38" s="117">
        <v>9895500669</v>
      </c>
      <c r="I38" s="117">
        <v>526</v>
      </c>
      <c r="J38" s="118" t="s">
        <v>1144</v>
      </c>
      <c r="K38" s="117">
        <v>900</v>
      </c>
      <c r="L38" s="117" t="s">
        <v>966</v>
      </c>
      <c r="M38" s="117" t="s">
        <v>932</v>
      </c>
      <c r="N38" s="117" t="s">
        <v>932</v>
      </c>
      <c r="O38" s="117" t="s">
        <v>933</v>
      </c>
      <c r="P38" s="117" t="s">
        <v>934</v>
      </c>
      <c r="Q38" s="117" t="s">
        <v>934</v>
      </c>
      <c r="R38" s="117" t="s">
        <v>934</v>
      </c>
      <c r="S38" s="117" t="s">
        <v>934</v>
      </c>
      <c r="T38" s="119" t="s">
        <v>932</v>
      </c>
      <c r="U38" s="117" t="s">
        <v>932</v>
      </c>
      <c r="V38" s="117" t="s">
        <v>932</v>
      </c>
      <c r="W38" s="117" t="s">
        <v>932</v>
      </c>
      <c r="X38" s="117" t="s">
        <v>934</v>
      </c>
      <c r="Y38" s="117" t="s">
        <v>934</v>
      </c>
      <c r="Z38" s="117" t="s">
        <v>934</v>
      </c>
      <c r="AA38" s="117" t="s">
        <v>934</v>
      </c>
      <c r="AB38" s="117" t="s">
        <v>934</v>
      </c>
      <c r="AC38" s="117" t="s">
        <v>934</v>
      </c>
      <c r="AD38" s="117" t="s">
        <v>934</v>
      </c>
      <c r="AE38" s="117" t="s">
        <v>934</v>
      </c>
      <c r="AF38" s="117" t="s">
        <v>934</v>
      </c>
      <c r="AG38" s="117" t="s">
        <v>934</v>
      </c>
      <c r="AH38" s="117" t="s">
        <v>934</v>
      </c>
      <c r="AI38" s="117" t="s">
        <v>934</v>
      </c>
      <c r="AJ38" s="117" t="s">
        <v>943</v>
      </c>
      <c r="AK38" s="117" t="s">
        <v>1135</v>
      </c>
      <c r="AL38" s="117" t="s">
        <v>943</v>
      </c>
      <c r="AM38" s="117" t="s">
        <v>1088</v>
      </c>
      <c r="AN38" s="117" t="s">
        <v>932</v>
      </c>
    </row>
    <row r="39" spans="1:41" s="117" customFormat="1" ht="25.5">
      <c r="A39" s="114">
        <v>41736.468807870369</v>
      </c>
      <c r="B39" s="115">
        <v>41736.468807870369</v>
      </c>
      <c r="C39" s="114">
        <v>41736.473622685182</v>
      </c>
      <c r="D39" s="115">
        <v>41736.473622685182</v>
      </c>
      <c r="E39" s="116" t="s">
        <v>1148</v>
      </c>
      <c r="F39" s="117" t="s">
        <v>1133</v>
      </c>
      <c r="G39" s="117" t="s">
        <v>1130</v>
      </c>
      <c r="H39" s="117">
        <v>9895500669</v>
      </c>
      <c r="I39" s="117">
        <v>525</v>
      </c>
      <c r="J39" s="118" t="s">
        <v>1023</v>
      </c>
      <c r="K39" s="117" t="s">
        <v>977</v>
      </c>
      <c r="L39" s="117" t="s">
        <v>966</v>
      </c>
      <c r="M39" s="117" t="s">
        <v>932</v>
      </c>
      <c r="N39" s="117" t="s">
        <v>932</v>
      </c>
      <c r="O39" s="117" t="s">
        <v>932</v>
      </c>
      <c r="P39" s="117" t="s">
        <v>932</v>
      </c>
      <c r="Q39" s="117" t="s">
        <v>934</v>
      </c>
      <c r="R39" s="117" t="s">
        <v>934</v>
      </c>
      <c r="S39" s="117" t="s">
        <v>934</v>
      </c>
      <c r="T39" s="119" t="s">
        <v>932</v>
      </c>
      <c r="U39" s="117" t="s">
        <v>932</v>
      </c>
      <c r="V39" s="117" t="s">
        <v>932</v>
      </c>
      <c r="W39" s="117" t="s">
        <v>932</v>
      </c>
      <c r="X39" s="117" t="s">
        <v>934</v>
      </c>
      <c r="Y39" s="117" t="s">
        <v>934</v>
      </c>
      <c r="Z39" s="117" t="s">
        <v>934</v>
      </c>
      <c r="AA39" s="117" t="s">
        <v>934</v>
      </c>
      <c r="AB39" s="117" t="s">
        <v>934</v>
      </c>
      <c r="AC39" s="117" t="s">
        <v>934</v>
      </c>
      <c r="AD39" s="117" t="s">
        <v>934</v>
      </c>
      <c r="AE39" s="117" t="s">
        <v>934</v>
      </c>
      <c r="AF39" s="117" t="s">
        <v>934</v>
      </c>
      <c r="AG39" s="117" t="s">
        <v>934</v>
      </c>
      <c r="AH39" s="117" t="s">
        <v>934</v>
      </c>
      <c r="AI39" s="117" t="s">
        <v>934</v>
      </c>
      <c r="AJ39" s="117" t="s">
        <v>943</v>
      </c>
      <c r="AK39" s="117" t="s">
        <v>1149</v>
      </c>
      <c r="AL39" s="117" t="s">
        <v>943</v>
      </c>
      <c r="AM39" s="117" t="s">
        <v>1088</v>
      </c>
      <c r="AN39" s="117" t="s">
        <v>932</v>
      </c>
    </row>
    <row r="40" spans="1:41" s="117" customFormat="1" ht="25.5">
      <c r="A40" s="114">
        <v>41736.562141203707</v>
      </c>
      <c r="B40" s="115">
        <v>41736.562141203707</v>
      </c>
      <c r="C40" s="114">
        <v>41736.567523148151</v>
      </c>
      <c r="D40" s="115">
        <v>41736.567523148151</v>
      </c>
      <c r="E40" s="116" t="s">
        <v>1150</v>
      </c>
      <c r="F40" s="117" t="s">
        <v>1151</v>
      </c>
      <c r="G40" s="117" t="s">
        <v>1152</v>
      </c>
      <c r="H40" s="117">
        <v>9895514242</v>
      </c>
      <c r="I40" s="117">
        <v>615</v>
      </c>
      <c r="J40" s="118" t="s">
        <v>964</v>
      </c>
      <c r="K40" s="117" t="s">
        <v>977</v>
      </c>
      <c r="L40" s="117" t="s">
        <v>966</v>
      </c>
      <c r="M40" s="117" t="s">
        <v>932</v>
      </c>
      <c r="N40" s="117" t="s">
        <v>932</v>
      </c>
      <c r="O40" s="117" t="s">
        <v>932</v>
      </c>
      <c r="P40" s="117" t="s">
        <v>932</v>
      </c>
      <c r="Q40" s="117" t="s">
        <v>934</v>
      </c>
      <c r="R40" s="117" t="s">
        <v>934</v>
      </c>
      <c r="S40" s="117" t="s">
        <v>934</v>
      </c>
      <c r="T40" s="119" t="s">
        <v>934</v>
      </c>
      <c r="U40" s="117" t="s">
        <v>932</v>
      </c>
      <c r="V40" s="117" t="s">
        <v>932</v>
      </c>
      <c r="W40" s="117" t="s">
        <v>932</v>
      </c>
      <c r="X40" s="117" t="s">
        <v>934</v>
      </c>
      <c r="Y40" s="117" t="s">
        <v>934</v>
      </c>
      <c r="Z40" s="117" t="s">
        <v>934</v>
      </c>
      <c r="AA40" s="117" t="s">
        <v>934</v>
      </c>
      <c r="AB40" s="117" t="s">
        <v>934</v>
      </c>
      <c r="AC40" s="117" t="s">
        <v>934</v>
      </c>
      <c r="AD40" s="117" t="s">
        <v>934</v>
      </c>
      <c r="AE40" s="117" t="s">
        <v>934</v>
      </c>
      <c r="AF40" s="117" t="s">
        <v>934</v>
      </c>
      <c r="AG40" s="117" t="s">
        <v>934</v>
      </c>
      <c r="AH40" s="117" t="s">
        <v>934</v>
      </c>
      <c r="AI40" s="117" t="s">
        <v>934</v>
      </c>
      <c r="AJ40" s="117" t="s">
        <v>943</v>
      </c>
      <c r="AK40" s="117" t="s">
        <v>1153</v>
      </c>
      <c r="AL40" s="117" t="s">
        <v>943</v>
      </c>
      <c r="AM40" s="117" t="s">
        <v>1088</v>
      </c>
      <c r="AN40" s="117" t="s">
        <v>932</v>
      </c>
    </row>
    <row r="41" spans="1:41" s="117" customFormat="1" ht="25.5">
      <c r="A41" s="114">
        <v>41736.573807870373</v>
      </c>
      <c r="B41" s="115">
        <v>41736.573807870373</v>
      </c>
      <c r="C41" s="114">
        <v>41736.576099537036</v>
      </c>
      <c r="D41" s="115">
        <v>41736.576099537036</v>
      </c>
      <c r="E41" s="116" t="s">
        <v>1154</v>
      </c>
      <c r="F41" s="117" t="s">
        <v>1151</v>
      </c>
      <c r="G41" s="117" t="s">
        <v>1152</v>
      </c>
      <c r="H41" s="117">
        <v>9895514242</v>
      </c>
      <c r="I41" s="117">
        <v>616</v>
      </c>
      <c r="J41" s="118" t="s">
        <v>1023</v>
      </c>
      <c r="K41" s="117" t="s">
        <v>977</v>
      </c>
      <c r="L41" s="117" t="s">
        <v>966</v>
      </c>
      <c r="M41" s="117" t="s">
        <v>932</v>
      </c>
      <c r="N41" s="117" t="s">
        <v>932</v>
      </c>
      <c r="O41" s="117" t="s">
        <v>932</v>
      </c>
      <c r="P41" s="117" t="s">
        <v>932</v>
      </c>
      <c r="Q41" s="117" t="s">
        <v>934</v>
      </c>
      <c r="R41" s="117" t="s">
        <v>932</v>
      </c>
      <c r="S41" s="117" t="s">
        <v>932</v>
      </c>
      <c r="T41" s="119" t="s">
        <v>932</v>
      </c>
      <c r="U41" s="117" t="s">
        <v>932</v>
      </c>
      <c r="V41" s="117" t="s">
        <v>932</v>
      </c>
      <c r="W41" s="117" t="s">
        <v>932</v>
      </c>
      <c r="X41" s="117" t="s">
        <v>934</v>
      </c>
      <c r="Y41" s="117" t="s">
        <v>934</v>
      </c>
      <c r="Z41" s="117" t="s">
        <v>934</v>
      </c>
      <c r="AA41" s="117" t="s">
        <v>934</v>
      </c>
      <c r="AB41" s="117" t="s">
        <v>934</v>
      </c>
      <c r="AC41" s="117" t="s">
        <v>934</v>
      </c>
      <c r="AD41" s="117" t="s">
        <v>934</v>
      </c>
      <c r="AE41" s="117" t="s">
        <v>934</v>
      </c>
      <c r="AF41" s="117" t="s">
        <v>934</v>
      </c>
      <c r="AG41" s="117" t="s">
        <v>934</v>
      </c>
      <c r="AH41" s="117" t="s">
        <v>934</v>
      </c>
      <c r="AI41" s="117" t="s">
        <v>934</v>
      </c>
      <c r="AJ41" s="117" t="s">
        <v>943</v>
      </c>
      <c r="AK41" s="117" t="s">
        <v>1155</v>
      </c>
      <c r="AL41" s="117" t="s">
        <v>943</v>
      </c>
      <c r="AM41" s="117" t="s">
        <v>1088</v>
      </c>
      <c r="AN41" s="117" t="s">
        <v>932</v>
      </c>
    </row>
    <row r="42" spans="1:41" s="117" customFormat="1" ht="25.5">
      <c r="A42" s="114">
        <v>41736.577349537038</v>
      </c>
      <c r="B42" s="115">
        <v>41736.577349537038</v>
      </c>
      <c r="C42" s="114">
        <v>41736.605937499997</v>
      </c>
      <c r="D42" s="115">
        <v>41736.605937499997</v>
      </c>
      <c r="E42" s="116" t="s">
        <v>1156</v>
      </c>
      <c r="F42" s="117" t="s">
        <v>1151</v>
      </c>
      <c r="G42" s="117" t="s">
        <v>1152</v>
      </c>
      <c r="H42" s="117">
        <v>9895514242</v>
      </c>
      <c r="I42" s="117">
        <v>618</v>
      </c>
      <c r="J42" s="118" t="s">
        <v>964</v>
      </c>
      <c r="K42" s="117" t="s">
        <v>1006</v>
      </c>
      <c r="L42" s="117" t="s">
        <v>966</v>
      </c>
      <c r="M42" s="117" t="s">
        <v>932</v>
      </c>
      <c r="N42" s="117" t="s">
        <v>932</v>
      </c>
      <c r="O42" s="117" t="s">
        <v>932</v>
      </c>
      <c r="P42" s="117" t="s">
        <v>934</v>
      </c>
      <c r="Q42" s="117" t="s">
        <v>934</v>
      </c>
      <c r="R42" s="117" t="s">
        <v>934</v>
      </c>
      <c r="S42" s="117" t="s">
        <v>934</v>
      </c>
      <c r="T42" s="119" t="s">
        <v>932</v>
      </c>
      <c r="U42" s="117" t="s">
        <v>932</v>
      </c>
      <c r="V42" s="117" t="s">
        <v>932</v>
      </c>
      <c r="W42" s="117" t="s">
        <v>932</v>
      </c>
      <c r="X42" s="117" t="s">
        <v>934</v>
      </c>
      <c r="Y42" s="117" t="s">
        <v>934</v>
      </c>
      <c r="Z42" s="117" t="s">
        <v>934</v>
      </c>
      <c r="AA42" s="117" t="s">
        <v>934</v>
      </c>
      <c r="AB42" s="117" t="s">
        <v>934</v>
      </c>
      <c r="AC42" s="117" t="s">
        <v>934</v>
      </c>
      <c r="AD42" s="117" t="s">
        <v>934</v>
      </c>
      <c r="AE42" s="117" t="s">
        <v>934</v>
      </c>
      <c r="AF42" s="117" t="s">
        <v>934</v>
      </c>
      <c r="AG42" s="117" t="s">
        <v>934</v>
      </c>
      <c r="AH42" s="117" t="s">
        <v>934</v>
      </c>
      <c r="AI42" s="117" t="s">
        <v>934</v>
      </c>
      <c r="AJ42" s="117" t="s">
        <v>943</v>
      </c>
      <c r="AK42" s="117" t="s">
        <v>1157</v>
      </c>
      <c r="AL42" s="117" t="s">
        <v>943</v>
      </c>
      <c r="AM42" s="117" t="s">
        <v>1088</v>
      </c>
      <c r="AN42" s="117" t="s">
        <v>932</v>
      </c>
    </row>
    <row r="43" spans="1:41" s="117" customFormat="1" ht="25.5">
      <c r="A43" s="114">
        <v>41736.606342592589</v>
      </c>
      <c r="B43" s="115">
        <v>41736.606342592589</v>
      </c>
      <c r="C43" s="114">
        <v>41736.616064814814</v>
      </c>
      <c r="D43" s="115">
        <v>41736.616064814814</v>
      </c>
      <c r="E43" s="116" t="s">
        <v>1158</v>
      </c>
      <c r="F43" s="117" t="s">
        <v>1151</v>
      </c>
      <c r="G43" s="117" t="s">
        <v>1152</v>
      </c>
      <c r="H43" s="117">
        <v>9895514242</v>
      </c>
      <c r="I43" s="117">
        <v>617</v>
      </c>
      <c r="J43" s="118" t="s">
        <v>1144</v>
      </c>
      <c r="K43" s="117">
        <v>350</v>
      </c>
      <c r="L43" s="117" t="s">
        <v>931</v>
      </c>
      <c r="M43" s="117" t="s">
        <v>932</v>
      </c>
      <c r="N43" s="117" t="s">
        <v>932</v>
      </c>
      <c r="O43" s="117" t="s">
        <v>932</v>
      </c>
      <c r="P43" s="117" t="s">
        <v>932</v>
      </c>
      <c r="Q43" s="117" t="s">
        <v>934</v>
      </c>
      <c r="R43" s="117" t="s">
        <v>934</v>
      </c>
      <c r="S43" s="117" t="s">
        <v>934</v>
      </c>
      <c r="T43" s="119" t="s">
        <v>932</v>
      </c>
      <c r="U43" s="117" t="s">
        <v>932</v>
      </c>
      <c r="V43" s="117" t="s">
        <v>932</v>
      </c>
      <c r="W43" s="117" t="s">
        <v>932</v>
      </c>
      <c r="X43" s="117" t="s">
        <v>934</v>
      </c>
      <c r="Y43" s="117" t="s">
        <v>934</v>
      </c>
      <c r="Z43" s="117" t="s">
        <v>934</v>
      </c>
      <c r="AA43" s="117" t="s">
        <v>934</v>
      </c>
      <c r="AB43" s="117" t="s">
        <v>934</v>
      </c>
      <c r="AC43" s="117" t="s">
        <v>934</v>
      </c>
      <c r="AD43" s="117" t="s">
        <v>934</v>
      </c>
      <c r="AE43" s="117" t="s">
        <v>934</v>
      </c>
      <c r="AF43" s="117" t="s">
        <v>934</v>
      </c>
      <c r="AG43" s="117" t="s">
        <v>934</v>
      </c>
      <c r="AH43" s="117" t="s">
        <v>934</v>
      </c>
      <c r="AI43" s="117" t="s">
        <v>934</v>
      </c>
      <c r="AJ43" s="117" t="s">
        <v>943</v>
      </c>
      <c r="AK43" s="117" t="s">
        <v>1159</v>
      </c>
      <c r="AL43" s="117" t="s">
        <v>943</v>
      </c>
      <c r="AM43" s="117" t="s">
        <v>1088</v>
      </c>
      <c r="AN43" s="117" t="s">
        <v>932</v>
      </c>
      <c r="AO43" s="117" t="s">
        <v>1160</v>
      </c>
    </row>
    <row r="44" spans="1:41" s="117" customFormat="1" ht="25.5">
      <c r="A44" s="114">
        <v>41736.61681712963</v>
      </c>
      <c r="B44" s="115">
        <v>41736.61681712963</v>
      </c>
      <c r="C44" s="114">
        <v>41736.644062500003</v>
      </c>
      <c r="D44" s="115">
        <v>41736.644062500003</v>
      </c>
      <c r="E44" s="116" t="s">
        <v>1161</v>
      </c>
      <c r="F44" s="117" t="s">
        <v>1162</v>
      </c>
      <c r="G44" s="117" t="s">
        <v>1152</v>
      </c>
      <c r="H44" s="117">
        <v>9895514242</v>
      </c>
      <c r="I44" s="117">
        <v>614</v>
      </c>
      <c r="J44" s="118" t="s">
        <v>964</v>
      </c>
      <c r="K44" s="117" t="s">
        <v>1139</v>
      </c>
      <c r="L44" s="117" t="s">
        <v>966</v>
      </c>
      <c r="M44" s="117" t="s">
        <v>932</v>
      </c>
      <c r="N44" s="117" t="s">
        <v>932</v>
      </c>
      <c r="O44" s="117" t="s">
        <v>932</v>
      </c>
      <c r="P44" s="117" t="s">
        <v>932</v>
      </c>
      <c r="Q44" s="117" t="s">
        <v>934</v>
      </c>
      <c r="R44" s="117" t="s">
        <v>934</v>
      </c>
      <c r="S44" s="117" t="s">
        <v>934</v>
      </c>
      <c r="T44" s="119" t="s">
        <v>932</v>
      </c>
      <c r="U44" s="117" t="s">
        <v>932</v>
      </c>
      <c r="V44" s="117" t="s">
        <v>932</v>
      </c>
      <c r="W44" s="117" t="s">
        <v>932</v>
      </c>
      <c r="X44" s="117" t="s">
        <v>934</v>
      </c>
      <c r="Y44" s="117" t="s">
        <v>934</v>
      </c>
      <c r="Z44" s="117" t="s">
        <v>934</v>
      </c>
      <c r="AA44" s="117" t="s">
        <v>934</v>
      </c>
      <c r="AB44" s="117" t="s">
        <v>934</v>
      </c>
      <c r="AC44" s="117" t="s">
        <v>934</v>
      </c>
      <c r="AD44" s="117" t="s">
        <v>934</v>
      </c>
      <c r="AE44" s="117" t="s">
        <v>934</v>
      </c>
      <c r="AF44" s="117" t="s">
        <v>934</v>
      </c>
      <c r="AG44" s="117" t="s">
        <v>934</v>
      </c>
      <c r="AH44" s="117" t="s">
        <v>934</v>
      </c>
      <c r="AI44" s="117" t="s">
        <v>934</v>
      </c>
      <c r="AJ44" s="117" t="s">
        <v>943</v>
      </c>
      <c r="AK44" s="117" t="s">
        <v>1057</v>
      </c>
      <c r="AL44" s="117" t="s">
        <v>943</v>
      </c>
      <c r="AM44" s="117" t="s">
        <v>1088</v>
      </c>
      <c r="AN44" s="117" t="s">
        <v>932</v>
      </c>
    </row>
    <row r="45" spans="1:41" s="117" customFormat="1" ht="25.5">
      <c r="A45" s="114">
        <v>41736.653611111113</v>
      </c>
      <c r="B45" s="115">
        <v>41736.653611111113</v>
      </c>
      <c r="C45" s="114">
        <v>41736.655393518522</v>
      </c>
      <c r="D45" s="115">
        <v>41736.655393518522</v>
      </c>
      <c r="E45" s="116" t="s">
        <v>1163</v>
      </c>
      <c r="F45" s="117" t="s">
        <v>1151</v>
      </c>
      <c r="G45" s="117" t="s">
        <v>1152</v>
      </c>
      <c r="H45" s="117">
        <v>9895514242</v>
      </c>
      <c r="I45" s="117">
        <v>613</v>
      </c>
      <c r="J45" s="118" t="s">
        <v>998</v>
      </c>
      <c r="K45" s="117">
        <v>65</v>
      </c>
      <c r="L45" s="117" t="s">
        <v>931</v>
      </c>
      <c r="M45" s="117" t="s">
        <v>932</v>
      </c>
      <c r="N45" s="117" t="s">
        <v>932</v>
      </c>
      <c r="O45" s="117" t="s">
        <v>932</v>
      </c>
      <c r="P45" s="117" t="s">
        <v>934</v>
      </c>
      <c r="Q45" s="117" t="s">
        <v>934</v>
      </c>
      <c r="R45" s="117" t="s">
        <v>934</v>
      </c>
      <c r="S45" s="117" t="s">
        <v>934</v>
      </c>
      <c r="T45" s="119" t="s">
        <v>934</v>
      </c>
      <c r="U45" s="117" t="s">
        <v>932</v>
      </c>
      <c r="V45" s="117" t="s">
        <v>932</v>
      </c>
      <c r="W45" s="117" t="s">
        <v>932</v>
      </c>
      <c r="X45" s="117" t="s">
        <v>934</v>
      </c>
      <c r="Y45" s="117" t="s">
        <v>934</v>
      </c>
      <c r="Z45" s="117" t="s">
        <v>934</v>
      </c>
      <c r="AA45" s="117" t="s">
        <v>934</v>
      </c>
      <c r="AB45" s="117" t="s">
        <v>934</v>
      </c>
      <c r="AC45" s="117" t="s">
        <v>934</v>
      </c>
      <c r="AD45" s="117" t="s">
        <v>934</v>
      </c>
      <c r="AE45" s="117" t="s">
        <v>934</v>
      </c>
      <c r="AF45" s="117" t="s">
        <v>934</v>
      </c>
      <c r="AG45" s="117" t="s">
        <v>934</v>
      </c>
      <c r="AH45" s="117" t="s">
        <v>934</v>
      </c>
      <c r="AI45" s="117" t="s">
        <v>934</v>
      </c>
      <c r="AJ45" s="117" t="s">
        <v>943</v>
      </c>
      <c r="AK45" s="117" t="s">
        <v>1164</v>
      </c>
      <c r="AL45" s="117" t="s">
        <v>943</v>
      </c>
      <c r="AM45" s="117" t="s">
        <v>1165</v>
      </c>
      <c r="AN45" s="117" t="s">
        <v>932</v>
      </c>
    </row>
    <row r="46" spans="1:41" s="117" customFormat="1" ht="25.5">
      <c r="A46" s="114">
        <v>41737.380393518521</v>
      </c>
      <c r="B46" s="115">
        <v>41737.380393518521</v>
      </c>
      <c r="C46" s="114">
        <v>41737.384467592594</v>
      </c>
      <c r="D46" s="115">
        <v>41737.384467592594</v>
      </c>
      <c r="E46" s="116" t="s">
        <v>1166</v>
      </c>
      <c r="F46" s="117" t="s">
        <v>1167</v>
      </c>
      <c r="G46" s="117" t="s">
        <v>1168</v>
      </c>
      <c r="H46" s="117">
        <v>9895532831</v>
      </c>
      <c r="I46" s="117">
        <v>636</v>
      </c>
      <c r="J46" s="118" t="s">
        <v>1023</v>
      </c>
      <c r="K46" s="117" t="s">
        <v>1169</v>
      </c>
      <c r="L46" s="117" t="s">
        <v>966</v>
      </c>
      <c r="M46" s="117" t="s">
        <v>932</v>
      </c>
      <c r="N46" s="117" t="s">
        <v>932</v>
      </c>
      <c r="O46" s="117" t="s">
        <v>932</v>
      </c>
      <c r="P46" s="117" t="s">
        <v>933</v>
      </c>
      <c r="Q46" s="117" t="s">
        <v>934</v>
      </c>
      <c r="R46" s="117" t="s">
        <v>934</v>
      </c>
      <c r="S46" s="117" t="s">
        <v>934</v>
      </c>
      <c r="T46" s="119" t="s">
        <v>934</v>
      </c>
      <c r="U46" s="117" t="s">
        <v>932</v>
      </c>
      <c r="V46" s="117" t="s">
        <v>932</v>
      </c>
      <c r="W46" s="117" t="s">
        <v>932</v>
      </c>
      <c r="X46" s="117" t="s">
        <v>934</v>
      </c>
      <c r="Y46" s="117" t="s">
        <v>934</v>
      </c>
      <c r="Z46" s="117" t="s">
        <v>934</v>
      </c>
      <c r="AA46" s="117" t="s">
        <v>934</v>
      </c>
      <c r="AB46" s="117" t="s">
        <v>934</v>
      </c>
      <c r="AC46" s="117" t="s">
        <v>934</v>
      </c>
      <c r="AD46" s="117" t="s">
        <v>934</v>
      </c>
      <c r="AE46" s="117" t="s">
        <v>934</v>
      </c>
      <c r="AF46" s="117" t="s">
        <v>934</v>
      </c>
      <c r="AG46" s="117" t="s">
        <v>934</v>
      </c>
      <c r="AH46" s="117" t="s">
        <v>934</v>
      </c>
      <c r="AI46" s="117" t="s">
        <v>934</v>
      </c>
      <c r="AJ46" s="117" t="s">
        <v>943</v>
      </c>
      <c r="AK46" s="117" t="s">
        <v>1170</v>
      </c>
      <c r="AL46" s="117" t="s">
        <v>943</v>
      </c>
      <c r="AM46" s="117" t="s">
        <v>1088</v>
      </c>
      <c r="AN46" s="117" t="s">
        <v>932</v>
      </c>
    </row>
    <row r="47" spans="1:41" s="117" customFormat="1" ht="25.5">
      <c r="A47" s="114">
        <v>41737.391932870371</v>
      </c>
      <c r="B47" s="115">
        <v>41737.391932870371</v>
      </c>
      <c r="C47" s="114">
        <v>41737.396863425929</v>
      </c>
      <c r="D47" s="115">
        <v>41737.396863425929</v>
      </c>
      <c r="E47" s="116" t="s">
        <v>1171</v>
      </c>
      <c r="F47" s="117" t="s">
        <v>1167</v>
      </c>
      <c r="G47" s="117" t="s">
        <v>1168</v>
      </c>
      <c r="H47" s="117">
        <v>9895532831</v>
      </c>
      <c r="I47" s="117">
        <v>633</v>
      </c>
      <c r="J47" s="118" t="s">
        <v>1144</v>
      </c>
      <c r="K47" s="117" t="s">
        <v>1006</v>
      </c>
      <c r="L47" s="117" t="s">
        <v>966</v>
      </c>
      <c r="M47" s="117" t="s">
        <v>932</v>
      </c>
      <c r="N47" s="117" t="s">
        <v>932</v>
      </c>
      <c r="O47" s="117" t="s">
        <v>932</v>
      </c>
      <c r="P47" s="117" t="s">
        <v>932</v>
      </c>
      <c r="Q47" s="117" t="s">
        <v>934</v>
      </c>
      <c r="R47" s="117" t="s">
        <v>934</v>
      </c>
      <c r="S47" s="117" t="s">
        <v>934</v>
      </c>
      <c r="T47" s="119" t="s">
        <v>932</v>
      </c>
      <c r="U47" s="117" t="s">
        <v>932</v>
      </c>
      <c r="V47" s="117" t="s">
        <v>932</v>
      </c>
      <c r="W47" s="117" t="s">
        <v>932</v>
      </c>
      <c r="X47" s="117" t="s">
        <v>934</v>
      </c>
      <c r="Y47" s="117" t="s">
        <v>934</v>
      </c>
      <c r="Z47" s="117" t="s">
        <v>934</v>
      </c>
      <c r="AA47" s="117" t="s">
        <v>934</v>
      </c>
      <c r="AB47" s="117" t="s">
        <v>934</v>
      </c>
      <c r="AC47" s="117" t="s">
        <v>934</v>
      </c>
      <c r="AD47" s="117" t="s">
        <v>934</v>
      </c>
      <c r="AE47" s="117" t="s">
        <v>934</v>
      </c>
      <c r="AF47" s="117" t="s">
        <v>934</v>
      </c>
      <c r="AG47" s="117" t="s">
        <v>934</v>
      </c>
      <c r="AH47" s="117" t="s">
        <v>934</v>
      </c>
      <c r="AI47" s="117" t="s">
        <v>934</v>
      </c>
      <c r="AJ47" s="117" t="s">
        <v>943</v>
      </c>
      <c r="AK47" s="117" t="s">
        <v>1063</v>
      </c>
      <c r="AL47" s="117" t="s">
        <v>943</v>
      </c>
      <c r="AM47" s="117" t="s">
        <v>1088</v>
      </c>
      <c r="AN47" s="117" t="s">
        <v>932</v>
      </c>
    </row>
    <row r="48" spans="1:41" s="117" customFormat="1" ht="25.5">
      <c r="A48" s="114">
        <v>41737.399872685186</v>
      </c>
      <c r="B48" s="115">
        <v>41737.399872685186</v>
      </c>
      <c r="C48" s="114">
        <v>41737.403368055559</v>
      </c>
      <c r="D48" s="115">
        <v>41737.403368055559</v>
      </c>
      <c r="E48" s="116" t="s">
        <v>1172</v>
      </c>
      <c r="F48" s="117" t="s">
        <v>1167</v>
      </c>
      <c r="G48" s="117" t="s">
        <v>1168</v>
      </c>
      <c r="H48" s="117">
        <v>9895532831</v>
      </c>
      <c r="I48" s="117">
        <v>634</v>
      </c>
      <c r="J48" s="118" t="s">
        <v>964</v>
      </c>
      <c r="K48" s="117" t="s">
        <v>1139</v>
      </c>
      <c r="L48" s="117" t="s">
        <v>966</v>
      </c>
      <c r="M48" s="117" t="s">
        <v>932</v>
      </c>
      <c r="N48" s="117" t="s">
        <v>932</v>
      </c>
      <c r="O48" s="117" t="s">
        <v>932</v>
      </c>
      <c r="P48" s="117" t="s">
        <v>934</v>
      </c>
      <c r="Q48" s="117" t="s">
        <v>934</v>
      </c>
      <c r="R48" s="117" t="s">
        <v>934</v>
      </c>
      <c r="S48" s="117" t="s">
        <v>934</v>
      </c>
      <c r="T48" s="119" t="s">
        <v>934</v>
      </c>
      <c r="U48" s="117" t="s">
        <v>932</v>
      </c>
      <c r="V48" s="117" t="s">
        <v>932</v>
      </c>
      <c r="W48" s="117" t="s">
        <v>932</v>
      </c>
      <c r="X48" s="117" t="s">
        <v>934</v>
      </c>
      <c r="Y48" s="117" t="s">
        <v>934</v>
      </c>
      <c r="Z48" s="117" t="s">
        <v>934</v>
      </c>
      <c r="AA48" s="117" t="s">
        <v>934</v>
      </c>
      <c r="AB48" s="117" t="s">
        <v>934</v>
      </c>
      <c r="AC48" s="117" t="s">
        <v>934</v>
      </c>
      <c r="AD48" s="117" t="s">
        <v>934</v>
      </c>
      <c r="AE48" s="117" t="s">
        <v>934</v>
      </c>
      <c r="AF48" s="117" t="s">
        <v>934</v>
      </c>
      <c r="AG48" s="117" t="s">
        <v>934</v>
      </c>
      <c r="AH48" s="117" t="s">
        <v>934</v>
      </c>
      <c r="AI48" s="117" t="s">
        <v>934</v>
      </c>
      <c r="AJ48" s="117" t="s">
        <v>943</v>
      </c>
      <c r="AK48" s="117" t="s">
        <v>1063</v>
      </c>
      <c r="AL48" s="117" t="s">
        <v>943</v>
      </c>
      <c r="AM48" s="117" t="s">
        <v>1173</v>
      </c>
      <c r="AN48" s="117" t="s">
        <v>932</v>
      </c>
    </row>
    <row r="49" spans="1:87" s="117" customFormat="1" ht="25.5">
      <c r="A49" s="114">
        <v>41737.406342592592</v>
      </c>
      <c r="B49" s="115">
        <v>41737.406342592592</v>
      </c>
      <c r="C49" s="114">
        <v>41737.409722222219</v>
      </c>
      <c r="D49" s="115">
        <v>41737.409722222219</v>
      </c>
      <c r="E49" s="116" t="s">
        <v>1174</v>
      </c>
      <c r="F49" s="117" t="s">
        <v>1167</v>
      </c>
      <c r="G49" s="117" t="s">
        <v>1168</v>
      </c>
      <c r="H49" s="117">
        <v>9895532831</v>
      </c>
      <c r="I49" s="117">
        <v>635</v>
      </c>
      <c r="J49" s="118" t="s">
        <v>1144</v>
      </c>
      <c r="K49" s="117" t="s">
        <v>1175</v>
      </c>
      <c r="L49" s="117" t="s">
        <v>931</v>
      </c>
      <c r="M49" s="117" t="s">
        <v>932</v>
      </c>
      <c r="N49" s="117" t="s">
        <v>932</v>
      </c>
      <c r="O49" s="117" t="s">
        <v>932</v>
      </c>
      <c r="P49" s="117" t="s">
        <v>932</v>
      </c>
      <c r="Q49" s="117" t="s">
        <v>934</v>
      </c>
      <c r="R49" s="117" t="s">
        <v>932</v>
      </c>
      <c r="S49" s="117" t="s">
        <v>932</v>
      </c>
      <c r="T49" s="119" t="s">
        <v>932</v>
      </c>
      <c r="U49" s="117" t="s">
        <v>932</v>
      </c>
      <c r="V49" s="117" t="s">
        <v>932</v>
      </c>
      <c r="W49" s="117" t="s">
        <v>932</v>
      </c>
      <c r="X49" s="117" t="s">
        <v>934</v>
      </c>
      <c r="Y49" s="117" t="s">
        <v>934</v>
      </c>
      <c r="Z49" s="117" t="s">
        <v>934</v>
      </c>
      <c r="AA49" s="117" t="s">
        <v>934</v>
      </c>
      <c r="AB49" s="117" t="s">
        <v>934</v>
      </c>
      <c r="AC49" s="117" t="s">
        <v>934</v>
      </c>
      <c r="AD49" s="117" t="s">
        <v>934</v>
      </c>
      <c r="AE49" s="117" t="s">
        <v>934</v>
      </c>
      <c r="AF49" s="117" t="s">
        <v>934</v>
      </c>
      <c r="AG49" s="117" t="s">
        <v>934</v>
      </c>
      <c r="AH49" s="117" t="s">
        <v>934</v>
      </c>
      <c r="AI49" s="117" t="s">
        <v>934</v>
      </c>
      <c r="AJ49" s="117" t="s">
        <v>943</v>
      </c>
      <c r="AK49" s="117" t="s">
        <v>1176</v>
      </c>
      <c r="AL49" s="117" t="s">
        <v>943</v>
      </c>
      <c r="AM49" s="117" t="s">
        <v>1088</v>
      </c>
      <c r="AN49" s="117" t="s">
        <v>932</v>
      </c>
    </row>
    <row r="50" spans="1:87" s="117" customFormat="1" ht="25.5">
      <c r="A50" s="114">
        <v>41737.552453703705</v>
      </c>
      <c r="B50" s="115">
        <v>41737.552453703705</v>
      </c>
      <c r="C50" s="114"/>
      <c r="D50" s="115"/>
      <c r="E50" s="116" t="s">
        <v>1177</v>
      </c>
      <c r="F50" s="117" t="s">
        <v>1178</v>
      </c>
      <c r="G50" s="117" t="s">
        <v>1179</v>
      </c>
      <c r="H50" s="117">
        <v>9895500669</v>
      </c>
      <c r="I50" s="117">
        <v>528</v>
      </c>
      <c r="J50" s="118" t="s">
        <v>950</v>
      </c>
      <c r="K50" s="117" t="s">
        <v>1180</v>
      </c>
      <c r="L50" s="117" t="s">
        <v>931</v>
      </c>
      <c r="T50" s="119"/>
      <c r="AK50" s="117" t="s">
        <v>1014</v>
      </c>
      <c r="AL50" s="117" t="s">
        <v>943</v>
      </c>
      <c r="AM50" s="117" t="s">
        <v>1181</v>
      </c>
      <c r="AN50" s="117" t="s">
        <v>932</v>
      </c>
      <c r="AP50" s="117" t="s">
        <v>1182</v>
      </c>
      <c r="AQ50" s="117" t="s">
        <v>1090</v>
      </c>
      <c r="AR50" s="117" t="s">
        <v>942</v>
      </c>
      <c r="AS50" s="117" t="s">
        <v>943</v>
      </c>
      <c r="AT50" s="117" t="s">
        <v>933</v>
      </c>
      <c r="AU50" s="117" t="s">
        <v>932</v>
      </c>
      <c r="AV50" s="117" t="s">
        <v>932</v>
      </c>
      <c r="AW50" s="117">
        <v>7</v>
      </c>
      <c r="AX50" s="117" t="s">
        <v>933</v>
      </c>
      <c r="AY50" s="117">
        <v>7</v>
      </c>
      <c r="AZ50" s="117">
        <v>7</v>
      </c>
      <c r="BA50" s="117" t="s">
        <v>932</v>
      </c>
      <c r="BB50" s="117" t="s">
        <v>933</v>
      </c>
      <c r="BC50" s="117" t="s">
        <v>932</v>
      </c>
      <c r="BD50" s="117" t="s">
        <v>932</v>
      </c>
      <c r="BE50" s="117" t="s">
        <v>932</v>
      </c>
      <c r="BF50" s="117">
        <v>1</v>
      </c>
      <c r="BG50" s="117" t="s">
        <v>933</v>
      </c>
      <c r="BH50" s="117">
        <v>30</v>
      </c>
      <c r="BI50" s="117" t="s">
        <v>1183</v>
      </c>
      <c r="BJ50" s="117" t="s">
        <v>932</v>
      </c>
      <c r="BK50" s="117" t="s">
        <v>932</v>
      </c>
      <c r="BL50" s="117">
        <v>1</v>
      </c>
      <c r="BM50" s="117" t="s">
        <v>932</v>
      </c>
      <c r="BN50" s="117" t="s">
        <v>932</v>
      </c>
      <c r="BO50" s="117" t="s">
        <v>932</v>
      </c>
      <c r="BP50" s="117">
        <v>1</v>
      </c>
      <c r="BQ50" s="117" t="s">
        <v>933</v>
      </c>
      <c r="BS50" s="117">
        <v>50</v>
      </c>
      <c r="BT50" s="117" t="s">
        <v>946</v>
      </c>
      <c r="BU50" s="117" t="s">
        <v>932</v>
      </c>
      <c r="BW50" s="117" t="s">
        <v>1184</v>
      </c>
      <c r="BX50" s="117">
        <v>6.05</v>
      </c>
      <c r="BY50" s="117" t="s">
        <v>190</v>
      </c>
      <c r="BZ50" s="117">
        <v>528</v>
      </c>
      <c r="CB50" s="117" t="s">
        <v>932</v>
      </c>
      <c r="CC50" s="117" t="s">
        <v>1442</v>
      </c>
      <c r="CD50" s="117" t="s">
        <v>932</v>
      </c>
      <c r="CE50" s="117" t="s">
        <v>932</v>
      </c>
      <c r="CF50" s="117">
        <v>32</v>
      </c>
      <c r="CG50" s="117">
        <v>1.5</v>
      </c>
      <c r="CH50" s="117" t="s">
        <v>932</v>
      </c>
      <c r="CI50" s="117" t="s">
        <v>932</v>
      </c>
    </row>
    <row r="51" spans="1:87" s="117" customFormat="1" ht="25.5">
      <c r="A51" s="114">
        <v>41737.592523148145</v>
      </c>
      <c r="B51" s="115">
        <v>41737.592523148145</v>
      </c>
      <c r="C51" s="114"/>
      <c r="D51" s="115"/>
      <c r="E51" s="116" t="s">
        <v>1185</v>
      </c>
      <c r="F51" s="117" t="s">
        <v>1178</v>
      </c>
      <c r="G51" s="117" t="s">
        <v>1179</v>
      </c>
      <c r="H51" s="117">
        <v>9895500669</v>
      </c>
      <c r="I51" s="117">
        <v>527</v>
      </c>
      <c r="J51" s="118" t="s">
        <v>964</v>
      </c>
      <c r="K51" s="117" t="s">
        <v>1098</v>
      </c>
      <c r="L51" s="117" t="s">
        <v>1186</v>
      </c>
      <c r="M51" s="117" t="s">
        <v>945</v>
      </c>
      <c r="N51" s="117" t="s">
        <v>945</v>
      </c>
      <c r="O51" s="117" t="s">
        <v>945</v>
      </c>
      <c r="P51" s="117" t="s">
        <v>1187</v>
      </c>
      <c r="Q51" s="117" t="s">
        <v>934</v>
      </c>
      <c r="R51" s="117" t="s">
        <v>945</v>
      </c>
      <c r="T51" s="119"/>
      <c r="AJ51" s="117" t="s">
        <v>943</v>
      </c>
      <c r="AK51" s="117" t="s">
        <v>1188</v>
      </c>
      <c r="AL51" s="117" t="s">
        <v>943</v>
      </c>
      <c r="AM51" s="117" t="s">
        <v>1181</v>
      </c>
      <c r="AN51" s="117" t="s">
        <v>945</v>
      </c>
      <c r="AO51" s="117" t="s">
        <v>1189</v>
      </c>
      <c r="AP51" s="117" t="s">
        <v>981</v>
      </c>
      <c r="AQ51" s="117" t="s">
        <v>1080</v>
      </c>
      <c r="AR51" s="117" t="s">
        <v>942</v>
      </c>
      <c r="AS51" s="117" t="s">
        <v>943</v>
      </c>
      <c r="AT51" s="117" t="s">
        <v>1190</v>
      </c>
      <c r="AU51" s="117" t="s">
        <v>945</v>
      </c>
      <c r="AV51" s="117" t="s">
        <v>945</v>
      </c>
      <c r="AW51" s="117">
        <v>50</v>
      </c>
      <c r="AX51" s="117" t="s">
        <v>945</v>
      </c>
      <c r="AY51" s="117">
        <v>50</v>
      </c>
      <c r="AZ51" s="117">
        <v>27</v>
      </c>
      <c r="BA51" s="117" t="s">
        <v>945</v>
      </c>
      <c r="BB51" s="117" t="s">
        <v>945</v>
      </c>
      <c r="BC51" s="117" t="s">
        <v>945</v>
      </c>
      <c r="BE51" s="117" t="s">
        <v>945</v>
      </c>
      <c r="BF51" s="117">
        <v>1</v>
      </c>
      <c r="BG51" s="117" t="s">
        <v>945</v>
      </c>
      <c r="BH51" s="117">
        <v>15</v>
      </c>
      <c r="BI51" s="117" t="s">
        <v>1191</v>
      </c>
      <c r="BJ51" s="117" t="s">
        <v>945</v>
      </c>
      <c r="BK51" s="117" t="s">
        <v>945</v>
      </c>
      <c r="BL51" s="117">
        <v>1</v>
      </c>
      <c r="BM51" s="117" t="s">
        <v>945</v>
      </c>
      <c r="BO51" s="117" t="s">
        <v>945</v>
      </c>
      <c r="BP51" s="117">
        <v>1</v>
      </c>
      <c r="BQ51" s="117" t="s">
        <v>945</v>
      </c>
      <c r="BR51" s="117">
        <v>50</v>
      </c>
      <c r="BS51" s="117">
        <v>800</v>
      </c>
      <c r="BT51" s="117" t="s">
        <v>946</v>
      </c>
      <c r="BU51" s="117" t="s">
        <v>945</v>
      </c>
      <c r="BW51" s="117" t="s">
        <v>1192</v>
      </c>
      <c r="BX51" s="117">
        <v>6.05</v>
      </c>
      <c r="BY51" s="117" t="s">
        <v>190</v>
      </c>
      <c r="BZ51" s="117">
        <v>527</v>
      </c>
      <c r="CB51" s="117" t="s">
        <v>945</v>
      </c>
      <c r="CC51" s="117" t="s">
        <v>1444</v>
      </c>
      <c r="CD51" s="117" t="s">
        <v>945</v>
      </c>
      <c r="CE51" s="117" t="s">
        <v>945</v>
      </c>
      <c r="CF51" s="117">
        <v>32</v>
      </c>
      <c r="CG51" s="117">
        <v>3</v>
      </c>
      <c r="CH51" s="117" t="s">
        <v>945</v>
      </c>
      <c r="CI51" s="117" t="s">
        <v>945</v>
      </c>
    </row>
    <row r="52" spans="1:87" s="117" customFormat="1" ht="25.5">
      <c r="A52" s="114">
        <v>41737.632673611108</v>
      </c>
      <c r="B52" s="115">
        <v>41737.632673611108</v>
      </c>
      <c r="C52" s="114"/>
      <c r="D52" s="115"/>
      <c r="E52" s="116" t="s">
        <v>1193</v>
      </c>
      <c r="F52" s="117" t="s">
        <v>1194</v>
      </c>
      <c r="G52" s="117" t="s">
        <v>1195</v>
      </c>
      <c r="H52" s="117">
        <v>9895500669</v>
      </c>
      <c r="I52" s="117" t="s">
        <v>1196</v>
      </c>
      <c r="J52" s="118" t="s">
        <v>998</v>
      </c>
      <c r="K52" s="117" t="s">
        <v>1134</v>
      </c>
      <c r="L52" s="117" t="s">
        <v>931</v>
      </c>
      <c r="T52" s="119"/>
      <c r="AK52" s="117" t="s">
        <v>1188</v>
      </c>
      <c r="AL52" s="117" t="s">
        <v>943</v>
      </c>
      <c r="AM52" s="117" t="s">
        <v>992</v>
      </c>
      <c r="AN52" s="117" t="s">
        <v>932</v>
      </c>
      <c r="AO52" s="117" t="s">
        <v>1197</v>
      </c>
      <c r="AP52" s="117" t="s">
        <v>955</v>
      </c>
      <c r="AQ52" s="117" t="s">
        <v>1198</v>
      </c>
      <c r="AR52" s="117" t="s">
        <v>1199</v>
      </c>
      <c r="AS52" s="117" t="s">
        <v>943</v>
      </c>
      <c r="AT52" s="117" t="s">
        <v>933</v>
      </c>
      <c r="AU52" s="117" t="s">
        <v>933</v>
      </c>
      <c r="AV52" s="117" t="s">
        <v>933</v>
      </c>
      <c r="AW52" s="117" t="s">
        <v>944</v>
      </c>
      <c r="AX52" s="117" t="s">
        <v>933</v>
      </c>
      <c r="AY52" s="117" t="s">
        <v>944</v>
      </c>
      <c r="AZ52" s="117" t="s">
        <v>944</v>
      </c>
      <c r="BA52" s="117" t="s">
        <v>932</v>
      </c>
      <c r="BB52" s="117" t="s">
        <v>933</v>
      </c>
      <c r="BC52" s="117" t="s">
        <v>932</v>
      </c>
      <c r="BD52" s="117" t="s">
        <v>932</v>
      </c>
      <c r="BE52" s="117" t="s">
        <v>932</v>
      </c>
      <c r="BF52" s="117">
        <v>2</v>
      </c>
      <c r="BG52" s="117" t="s">
        <v>933</v>
      </c>
      <c r="BH52" s="117">
        <v>20</v>
      </c>
      <c r="BI52" s="117" t="s">
        <v>1200</v>
      </c>
      <c r="BJ52" s="117" t="s">
        <v>932</v>
      </c>
      <c r="BK52" s="117" t="s">
        <v>933</v>
      </c>
      <c r="BM52" s="117" t="s">
        <v>932</v>
      </c>
      <c r="BN52" s="117" t="s">
        <v>932</v>
      </c>
      <c r="BO52" s="117" t="s">
        <v>932</v>
      </c>
      <c r="BP52" s="117">
        <v>2</v>
      </c>
      <c r="BQ52" s="117" t="s">
        <v>933</v>
      </c>
      <c r="BS52" s="117">
        <v>150</v>
      </c>
      <c r="BT52" s="117" t="s">
        <v>946</v>
      </c>
      <c r="BU52" s="117" t="s">
        <v>932</v>
      </c>
      <c r="BV52" s="117">
        <v>521</v>
      </c>
      <c r="BW52" s="117" t="s">
        <v>1201</v>
      </c>
      <c r="BX52" s="117">
        <v>6.05</v>
      </c>
      <c r="BY52" s="117" t="s">
        <v>190</v>
      </c>
      <c r="CB52" s="117" t="s">
        <v>932</v>
      </c>
      <c r="CD52" s="117" t="s">
        <v>932</v>
      </c>
      <c r="CE52" s="117" t="s">
        <v>932</v>
      </c>
      <c r="CF52" s="117">
        <v>29</v>
      </c>
      <c r="CG52" s="117">
        <v>2.6</v>
      </c>
      <c r="CH52" s="117" t="s">
        <v>932</v>
      </c>
      <c r="CI52" s="117" t="s">
        <v>932</v>
      </c>
    </row>
    <row r="53" spans="1:87" s="117" customFormat="1" ht="25.5">
      <c r="A53" s="114">
        <v>41737.653032407405</v>
      </c>
      <c r="B53" s="115">
        <v>41737.653032407405</v>
      </c>
      <c r="C53" s="114"/>
      <c r="D53" s="115"/>
      <c r="E53" s="116" t="s">
        <v>1202</v>
      </c>
      <c r="F53" s="117" t="s">
        <v>1133</v>
      </c>
      <c r="G53" s="117" t="s">
        <v>1195</v>
      </c>
      <c r="H53" s="117">
        <v>9895500669</v>
      </c>
      <c r="I53" s="117">
        <v>526</v>
      </c>
      <c r="J53" s="118" t="s">
        <v>1023</v>
      </c>
      <c r="K53" s="117" t="s">
        <v>977</v>
      </c>
      <c r="L53" s="117" t="s">
        <v>966</v>
      </c>
      <c r="T53" s="119"/>
      <c r="AK53" s="117" t="s">
        <v>936</v>
      </c>
      <c r="AL53" s="117" t="s">
        <v>943</v>
      </c>
      <c r="AM53" s="117" t="s">
        <v>992</v>
      </c>
      <c r="AP53" s="117" t="s">
        <v>970</v>
      </c>
      <c r="AQ53" s="117" t="s">
        <v>942</v>
      </c>
      <c r="AR53" s="117" t="s">
        <v>942</v>
      </c>
      <c r="AS53" s="117" t="s">
        <v>943</v>
      </c>
      <c r="AT53" s="117" t="s">
        <v>933</v>
      </c>
      <c r="AU53" s="117" t="s">
        <v>932</v>
      </c>
      <c r="AV53" s="117" t="s">
        <v>933</v>
      </c>
      <c r="AW53" s="117">
        <v>26</v>
      </c>
      <c r="AX53" s="117" t="s">
        <v>932</v>
      </c>
      <c r="AY53" s="117">
        <v>0</v>
      </c>
      <c r="AZ53" s="117">
        <v>25.5</v>
      </c>
      <c r="BA53" s="117" t="s">
        <v>932</v>
      </c>
      <c r="BB53" s="117" t="s">
        <v>932</v>
      </c>
      <c r="BC53" s="117" t="s">
        <v>932</v>
      </c>
      <c r="BD53" s="117" t="s">
        <v>932</v>
      </c>
      <c r="BE53" s="117" t="s">
        <v>932</v>
      </c>
      <c r="BF53" s="117">
        <v>1</v>
      </c>
      <c r="BG53" s="117" t="s">
        <v>932</v>
      </c>
      <c r="BH53" s="117">
        <v>15</v>
      </c>
      <c r="BI53" s="117" t="s">
        <v>1203</v>
      </c>
      <c r="BJ53" s="117" t="s">
        <v>932</v>
      </c>
      <c r="BK53" s="117" t="s">
        <v>932</v>
      </c>
      <c r="BL53" s="117">
        <v>1</v>
      </c>
      <c r="BM53" s="117" t="s">
        <v>932</v>
      </c>
      <c r="BN53" s="117" t="s">
        <v>932</v>
      </c>
      <c r="BO53" s="117" t="s">
        <v>932</v>
      </c>
      <c r="BQ53" s="117" t="s">
        <v>933</v>
      </c>
      <c r="BS53" s="117">
        <v>50</v>
      </c>
      <c r="BT53" s="117" t="s">
        <v>946</v>
      </c>
      <c r="BU53" s="117" t="s">
        <v>932</v>
      </c>
      <c r="BV53" s="117">
        <v>526</v>
      </c>
      <c r="BW53" s="117" t="s">
        <v>1204</v>
      </c>
      <c r="BX53" s="117">
        <v>6.05</v>
      </c>
      <c r="BY53" s="117" t="s">
        <v>190</v>
      </c>
      <c r="CB53" s="117" t="s">
        <v>932</v>
      </c>
      <c r="CC53" s="117">
        <v>821</v>
      </c>
      <c r="CD53" s="117" t="s">
        <v>932</v>
      </c>
      <c r="CF53" s="117">
        <v>30</v>
      </c>
      <c r="CG53" s="117">
        <v>0</v>
      </c>
      <c r="CH53" s="117" t="s">
        <v>932</v>
      </c>
      <c r="CI53" s="117" t="s">
        <v>932</v>
      </c>
    </row>
    <row r="54" spans="1:87" s="117" customFormat="1" ht="25.5">
      <c r="A54" s="120">
        <v>41738.319803240738</v>
      </c>
      <c r="B54" s="120">
        <v>41738.319803240738</v>
      </c>
      <c r="C54" s="114"/>
      <c r="D54" s="115"/>
      <c r="E54" s="121" t="s">
        <v>1205</v>
      </c>
      <c r="F54" s="117" t="s">
        <v>1178</v>
      </c>
      <c r="G54" s="117" t="s">
        <v>1179</v>
      </c>
      <c r="H54" s="117">
        <v>9895500669</v>
      </c>
      <c r="I54" s="117">
        <v>523</v>
      </c>
      <c r="J54" s="118" t="s">
        <v>1206</v>
      </c>
      <c r="K54" s="117" t="s">
        <v>1207</v>
      </c>
      <c r="L54" s="117" t="s">
        <v>966</v>
      </c>
      <c r="T54" s="119"/>
      <c r="AK54" s="117" t="s">
        <v>936</v>
      </c>
      <c r="AL54" s="117" t="s">
        <v>943</v>
      </c>
      <c r="AM54" s="117" t="s">
        <v>992</v>
      </c>
      <c r="AN54" s="117" t="s">
        <v>932</v>
      </c>
      <c r="AP54" s="117" t="s">
        <v>1208</v>
      </c>
      <c r="AQ54" s="117" t="s">
        <v>1080</v>
      </c>
      <c r="AR54" s="117" t="s">
        <v>1209</v>
      </c>
      <c r="AS54" s="117" t="s">
        <v>943</v>
      </c>
      <c r="AT54" s="117" t="s">
        <v>933</v>
      </c>
      <c r="AU54" s="117" t="s">
        <v>932</v>
      </c>
      <c r="AV54" s="117" t="s">
        <v>932</v>
      </c>
      <c r="AW54" s="117">
        <v>1.5</v>
      </c>
      <c r="AX54" s="117" t="s">
        <v>932</v>
      </c>
      <c r="AY54" s="117">
        <v>2.1</v>
      </c>
      <c r="AZ54" s="117">
        <v>1.1000000000000001</v>
      </c>
      <c r="BA54" s="117" t="s">
        <v>932</v>
      </c>
      <c r="BB54" s="117" t="s">
        <v>932</v>
      </c>
      <c r="BC54" s="117" t="s">
        <v>932</v>
      </c>
      <c r="BD54" s="117" t="s">
        <v>932</v>
      </c>
      <c r="BE54" s="117" t="s">
        <v>932</v>
      </c>
      <c r="BF54" s="117">
        <v>0</v>
      </c>
      <c r="BH54" s="117">
        <v>15</v>
      </c>
      <c r="BI54" s="117" t="s">
        <v>1210</v>
      </c>
      <c r="BJ54" s="117" t="s">
        <v>932</v>
      </c>
      <c r="BK54" s="117" t="s">
        <v>932</v>
      </c>
      <c r="BL54" s="117">
        <v>1</v>
      </c>
      <c r="BM54" s="117" t="s">
        <v>932</v>
      </c>
      <c r="BN54" s="117" t="s">
        <v>932</v>
      </c>
      <c r="BP54" s="117">
        <v>0</v>
      </c>
      <c r="BS54" s="117">
        <v>150</v>
      </c>
      <c r="BT54" s="117" t="s">
        <v>946</v>
      </c>
      <c r="BU54" s="117" t="s">
        <v>932</v>
      </c>
      <c r="BV54" s="117">
        <v>523</v>
      </c>
      <c r="BW54" s="117" t="s">
        <v>1211</v>
      </c>
      <c r="BX54" s="117">
        <v>6.05</v>
      </c>
      <c r="BY54" s="117" t="s">
        <v>190</v>
      </c>
      <c r="CB54" s="117" t="s">
        <v>932</v>
      </c>
      <c r="CC54" s="117">
        <v>821</v>
      </c>
      <c r="CD54" s="117" t="s">
        <v>932</v>
      </c>
      <c r="CE54" s="117" t="s">
        <v>932</v>
      </c>
      <c r="CF54" s="117">
        <v>31</v>
      </c>
      <c r="CG54" s="117">
        <v>0.5</v>
      </c>
      <c r="CH54" s="117" t="s">
        <v>932</v>
      </c>
      <c r="CI54" s="117" t="s">
        <v>932</v>
      </c>
    </row>
    <row r="55" spans="1:87" s="117" customFormat="1" ht="25.5">
      <c r="A55" s="114">
        <v>41738.325729166667</v>
      </c>
      <c r="B55" s="115">
        <v>41738.325729166667</v>
      </c>
      <c r="C55" s="114"/>
      <c r="D55" s="115"/>
      <c r="E55" s="116" t="s">
        <v>1212</v>
      </c>
      <c r="F55" s="117" t="s">
        <v>1213</v>
      </c>
      <c r="G55" s="117" t="s">
        <v>1179</v>
      </c>
      <c r="H55" s="117">
        <v>9895500669</v>
      </c>
      <c r="I55" s="117">
        <v>524</v>
      </c>
      <c r="J55" s="118" t="s">
        <v>1214</v>
      </c>
      <c r="K55" s="117" t="s">
        <v>1215</v>
      </c>
      <c r="L55" s="117" t="s">
        <v>966</v>
      </c>
      <c r="T55" s="119"/>
      <c r="AK55" s="117" t="s">
        <v>1216</v>
      </c>
      <c r="AL55" s="117" t="s">
        <v>943</v>
      </c>
      <c r="AM55" s="117" t="s">
        <v>992</v>
      </c>
      <c r="AN55" s="117" t="s">
        <v>932</v>
      </c>
      <c r="AO55" s="117" t="s">
        <v>1217</v>
      </c>
      <c r="AP55" s="117" t="s">
        <v>1182</v>
      </c>
      <c r="AQ55" s="117" t="s">
        <v>1090</v>
      </c>
      <c r="AR55" s="117" t="s">
        <v>1218</v>
      </c>
      <c r="AS55" s="117" t="s">
        <v>943</v>
      </c>
      <c r="AT55" s="117" t="s">
        <v>933</v>
      </c>
      <c r="AU55" s="117" t="s">
        <v>933</v>
      </c>
      <c r="AV55" s="117" t="s">
        <v>933</v>
      </c>
      <c r="AW55" s="117">
        <v>78</v>
      </c>
      <c r="AX55" s="117" t="s">
        <v>933</v>
      </c>
      <c r="AY55" s="117">
        <v>78</v>
      </c>
      <c r="AZ55" s="117">
        <v>77.5</v>
      </c>
      <c r="BA55" s="117" t="s">
        <v>932</v>
      </c>
      <c r="BB55" s="117" t="s">
        <v>932</v>
      </c>
      <c r="BC55" s="117" t="s">
        <v>932</v>
      </c>
      <c r="BE55" s="117" t="s">
        <v>932</v>
      </c>
      <c r="BF55" s="117">
        <v>1</v>
      </c>
      <c r="BG55" s="117" t="s">
        <v>932</v>
      </c>
      <c r="BH55" s="117">
        <v>15</v>
      </c>
      <c r="BI55" s="117" t="s">
        <v>1219</v>
      </c>
      <c r="BJ55" s="117" t="s">
        <v>932</v>
      </c>
      <c r="BK55" s="117" t="s">
        <v>932</v>
      </c>
      <c r="BL55" s="117">
        <v>20</v>
      </c>
      <c r="BM55" s="117" t="s">
        <v>932</v>
      </c>
      <c r="BO55" s="117" t="s">
        <v>932</v>
      </c>
      <c r="BP55" s="117">
        <v>0</v>
      </c>
      <c r="BR55" s="117">
        <v>700</v>
      </c>
      <c r="BS55" s="117">
        <v>1000</v>
      </c>
      <c r="BT55" s="117">
        <v>78557</v>
      </c>
      <c r="BU55" s="117" t="s">
        <v>932</v>
      </c>
      <c r="BV55" s="117">
        <v>524</v>
      </c>
      <c r="BW55" s="117" t="s">
        <v>1187</v>
      </c>
      <c r="BX55" s="117">
        <v>6.05</v>
      </c>
      <c r="BY55" s="117" t="s">
        <v>190</v>
      </c>
      <c r="CB55" s="117" t="s">
        <v>932</v>
      </c>
      <c r="CC55" s="117">
        <v>821</v>
      </c>
      <c r="CD55" s="117" t="s">
        <v>932</v>
      </c>
      <c r="CE55" s="117" t="s">
        <v>932</v>
      </c>
      <c r="CF55" s="117">
        <v>30</v>
      </c>
      <c r="CG55" s="117">
        <v>0</v>
      </c>
      <c r="CH55" s="117" t="s">
        <v>932</v>
      </c>
      <c r="CI55" s="117" t="s">
        <v>932</v>
      </c>
    </row>
    <row r="56" spans="1:87" s="117" customFormat="1" ht="25.5">
      <c r="A56" s="114">
        <v>41738.331747685188</v>
      </c>
      <c r="B56" s="115">
        <v>41738.331747685188</v>
      </c>
      <c r="C56" s="114"/>
      <c r="D56" s="115"/>
      <c r="E56" s="116" t="s">
        <v>1220</v>
      </c>
      <c r="F56" s="117" t="s">
        <v>1194</v>
      </c>
      <c r="G56" s="117" t="s">
        <v>1195</v>
      </c>
      <c r="H56" s="117">
        <v>9895500669</v>
      </c>
      <c r="I56" s="117">
        <v>526</v>
      </c>
      <c r="J56" s="118" t="s">
        <v>950</v>
      </c>
      <c r="K56" s="117" t="s">
        <v>1221</v>
      </c>
      <c r="L56" s="117" t="s">
        <v>931</v>
      </c>
      <c r="T56" s="119"/>
      <c r="AK56" s="117" t="s">
        <v>1222</v>
      </c>
      <c r="AL56" s="117" t="s">
        <v>943</v>
      </c>
      <c r="AM56" s="117" t="s">
        <v>992</v>
      </c>
      <c r="AN56" s="117" t="s">
        <v>932</v>
      </c>
      <c r="AP56" s="117" t="s">
        <v>1208</v>
      </c>
      <c r="AQ56" s="117" t="s">
        <v>1090</v>
      </c>
      <c r="AR56" s="117" t="s">
        <v>1209</v>
      </c>
      <c r="AS56" s="117" t="s">
        <v>943</v>
      </c>
      <c r="AT56" s="117" t="s">
        <v>933</v>
      </c>
      <c r="AU56" s="117" t="s">
        <v>933</v>
      </c>
      <c r="AV56" s="117" t="s">
        <v>933</v>
      </c>
      <c r="AW56" s="117">
        <v>0</v>
      </c>
      <c r="AX56" s="117" t="s">
        <v>932</v>
      </c>
      <c r="AY56" s="117">
        <v>0</v>
      </c>
      <c r="AZ56" s="117">
        <v>5</v>
      </c>
      <c r="BA56" s="117" t="s">
        <v>932</v>
      </c>
      <c r="BB56" s="117" t="s">
        <v>932</v>
      </c>
      <c r="BC56" s="117" t="s">
        <v>932</v>
      </c>
      <c r="BD56" s="117" t="s">
        <v>932</v>
      </c>
      <c r="BE56" s="117" t="s">
        <v>932</v>
      </c>
      <c r="BF56" s="117">
        <v>1</v>
      </c>
      <c r="BG56" s="117" t="s">
        <v>932</v>
      </c>
      <c r="BH56" s="117">
        <v>15</v>
      </c>
      <c r="BI56" s="117" t="s">
        <v>1083</v>
      </c>
      <c r="BJ56" s="117" t="s">
        <v>932</v>
      </c>
      <c r="BK56" s="117" t="s">
        <v>932</v>
      </c>
      <c r="BL56" s="117">
        <v>1</v>
      </c>
      <c r="BM56" s="117" t="s">
        <v>932</v>
      </c>
      <c r="BN56" s="117" t="s">
        <v>932</v>
      </c>
      <c r="BO56" s="117" t="s">
        <v>932</v>
      </c>
      <c r="BP56" s="117">
        <v>0</v>
      </c>
      <c r="BS56" s="117">
        <v>200</v>
      </c>
      <c r="BT56" s="117" t="s">
        <v>946</v>
      </c>
      <c r="BU56" s="117" t="s">
        <v>932</v>
      </c>
      <c r="BV56" s="117">
        <v>526</v>
      </c>
      <c r="BW56" s="117" t="s">
        <v>1223</v>
      </c>
      <c r="BX56" s="117">
        <v>6.05</v>
      </c>
      <c r="BY56" s="117" t="s">
        <v>190</v>
      </c>
      <c r="CB56" s="117" t="s">
        <v>932</v>
      </c>
      <c r="CC56" s="117">
        <v>821</v>
      </c>
      <c r="CD56" s="117" t="s">
        <v>932</v>
      </c>
      <c r="CE56" s="117" t="s">
        <v>932</v>
      </c>
      <c r="CF56" s="117">
        <v>30</v>
      </c>
      <c r="CG56" s="117">
        <v>1</v>
      </c>
      <c r="CH56" s="117" t="s">
        <v>932</v>
      </c>
      <c r="CI56" s="117" t="s">
        <v>932</v>
      </c>
    </row>
    <row r="57" spans="1:87" s="117" customFormat="1" ht="25.5">
      <c r="A57" s="114">
        <v>41738.695231481484</v>
      </c>
      <c r="B57" s="115">
        <v>41738.695231481484</v>
      </c>
      <c r="C57" s="114"/>
      <c r="D57" s="115"/>
      <c r="E57" s="116" t="s">
        <v>1224</v>
      </c>
      <c r="F57" s="117" t="s">
        <v>1225</v>
      </c>
      <c r="G57" s="117" t="s">
        <v>1226</v>
      </c>
      <c r="I57" s="117">
        <v>615</v>
      </c>
      <c r="J57" s="118" t="s">
        <v>1023</v>
      </c>
      <c r="K57" s="117" t="s">
        <v>1227</v>
      </c>
      <c r="L57" s="117" t="s">
        <v>966</v>
      </c>
      <c r="T57" s="119"/>
      <c r="AK57" s="117" t="s">
        <v>1228</v>
      </c>
      <c r="AL57" s="117" t="s">
        <v>943</v>
      </c>
      <c r="AM57" s="117" t="s">
        <v>992</v>
      </c>
      <c r="AN57" s="117" t="s">
        <v>932</v>
      </c>
      <c r="AP57" s="117" t="s">
        <v>981</v>
      </c>
      <c r="AQ57" s="117" t="s">
        <v>1080</v>
      </c>
      <c r="AR57" s="117" t="s">
        <v>942</v>
      </c>
      <c r="AS57" s="117" t="s">
        <v>943</v>
      </c>
      <c r="AT57" s="117" t="s">
        <v>933</v>
      </c>
      <c r="AU57" s="117" t="s">
        <v>932</v>
      </c>
      <c r="AV57" s="117" t="s">
        <v>933</v>
      </c>
      <c r="AW57" s="117">
        <v>0</v>
      </c>
      <c r="AX57" s="117" t="s">
        <v>933</v>
      </c>
      <c r="AY57" s="117">
        <v>37</v>
      </c>
      <c r="AZ57" s="117">
        <v>10</v>
      </c>
      <c r="BA57" s="117" t="s">
        <v>932</v>
      </c>
      <c r="BB57" s="117" t="s">
        <v>932</v>
      </c>
      <c r="BC57" s="117" t="s">
        <v>932</v>
      </c>
      <c r="BD57" s="117" t="s">
        <v>932</v>
      </c>
      <c r="BE57" s="117" t="s">
        <v>932</v>
      </c>
      <c r="BF57" s="117">
        <v>0</v>
      </c>
      <c r="BH57" s="117">
        <v>1</v>
      </c>
      <c r="BI57" s="117" t="s">
        <v>1229</v>
      </c>
      <c r="BJ57" s="117" t="s">
        <v>932</v>
      </c>
      <c r="BK57" s="117" t="s">
        <v>932</v>
      </c>
      <c r="BL57" s="117">
        <v>1</v>
      </c>
      <c r="BM57" s="117" t="s">
        <v>932</v>
      </c>
      <c r="BN57" s="117" t="s">
        <v>932</v>
      </c>
      <c r="BO57" s="117" t="s">
        <v>932</v>
      </c>
      <c r="BP57" s="117">
        <v>1</v>
      </c>
      <c r="BQ57" s="117" t="s">
        <v>932</v>
      </c>
      <c r="BS57" s="117">
        <v>50</v>
      </c>
      <c r="BT57" s="117" t="s">
        <v>946</v>
      </c>
      <c r="BU57" s="117" t="s">
        <v>932</v>
      </c>
      <c r="BV57" s="117">
        <v>615</v>
      </c>
      <c r="BW57" s="117" t="s">
        <v>766</v>
      </c>
      <c r="BX57" s="117">
        <v>6.05</v>
      </c>
      <c r="BY57" s="117" t="s">
        <v>190</v>
      </c>
      <c r="CB57" s="117" t="s">
        <v>932</v>
      </c>
      <c r="CC57" s="117">
        <v>821</v>
      </c>
      <c r="CD57" s="117" t="s">
        <v>932</v>
      </c>
      <c r="CE57" s="117" t="s">
        <v>932</v>
      </c>
      <c r="CF57" s="117">
        <v>30</v>
      </c>
      <c r="CG57" s="117">
        <v>1</v>
      </c>
      <c r="CH57" s="117" t="s">
        <v>932</v>
      </c>
      <c r="CI57" s="117" t="s">
        <v>932</v>
      </c>
    </row>
    <row r="58" spans="1:87" s="117" customFormat="1" ht="25.5">
      <c r="A58" s="114">
        <v>41738.700960648152</v>
      </c>
      <c r="B58" s="115">
        <v>41738.700960648152</v>
      </c>
      <c r="C58" s="114"/>
      <c r="D58" s="115"/>
      <c r="E58" s="116" t="s">
        <v>1230</v>
      </c>
      <c r="F58" s="117" t="s">
        <v>1225</v>
      </c>
      <c r="G58" s="117" t="s">
        <v>1231</v>
      </c>
      <c r="I58" s="117">
        <v>614</v>
      </c>
      <c r="J58" s="118" t="s">
        <v>964</v>
      </c>
      <c r="K58" s="117" t="s">
        <v>1139</v>
      </c>
      <c r="L58" s="117" t="s">
        <v>966</v>
      </c>
      <c r="T58" s="119"/>
      <c r="AK58" s="117" t="s">
        <v>1232</v>
      </c>
      <c r="AL58" s="117" t="s">
        <v>943</v>
      </c>
      <c r="AM58" s="117" t="s">
        <v>992</v>
      </c>
      <c r="AN58" s="117" t="s">
        <v>932</v>
      </c>
      <c r="AP58" s="117" t="s">
        <v>981</v>
      </c>
      <c r="AQ58" s="117" t="s">
        <v>1080</v>
      </c>
      <c r="AR58" s="117" t="s">
        <v>942</v>
      </c>
      <c r="AS58" s="117" t="s">
        <v>943</v>
      </c>
      <c r="AT58" s="117" t="s">
        <v>933</v>
      </c>
      <c r="AU58" s="117" t="s">
        <v>932</v>
      </c>
      <c r="AV58" s="117" t="s">
        <v>933</v>
      </c>
      <c r="AW58" s="117">
        <v>0</v>
      </c>
      <c r="AX58" s="117" t="s">
        <v>932</v>
      </c>
      <c r="AY58" s="117">
        <v>15</v>
      </c>
      <c r="AZ58" s="117">
        <v>4.4000000000000004</v>
      </c>
      <c r="BA58" s="117" t="s">
        <v>932</v>
      </c>
      <c r="BB58" s="117" t="s">
        <v>932</v>
      </c>
      <c r="BC58" s="117" t="s">
        <v>932</v>
      </c>
      <c r="BD58" s="117" t="s">
        <v>932</v>
      </c>
      <c r="BE58" s="117" t="s">
        <v>932</v>
      </c>
      <c r="BF58" s="117">
        <v>1</v>
      </c>
      <c r="BG58" s="117" t="s">
        <v>932</v>
      </c>
      <c r="BH58" s="117">
        <v>15</v>
      </c>
      <c r="BI58" s="117" t="s">
        <v>1229</v>
      </c>
      <c r="BJ58" s="117" t="s">
        <v>932</v>
      </c>
      <c r="BK58" s="117" t="s">
        <v>932</v>
      </c>
      <c r="BL58" s="117">
        <v>1</v>
      </c>
      <c r="BM58" s="117" t="s">
        <v>932</v>
      </c>
      <c r="BN58" s="117" t="s">
        <v>932</v>
      </c>
      <c r="BO58" s="117" t="s">
        <v>932</v>
      </c>
      <c r="BP58" s="117">
        <v>0</v>
      </c>
      <c r="BS58" s="117">
        <v>25</v>
      </c>
      <c r="BT58" s="117" t="s">
        <v>946</v>
      </c>
      <c r="BU58" s="117" t="s">
        <v>932</v>
      </c>
      <c r="BV58" s="117">
        <v>614</v>
      </c>
      <c r="BW58" s="117" t="s">
        <v>771</v>
      </c>
      <c r="BX58" s="117">
        <v>6.05</v>
      </c>
      <c r="BY58" s="117" t="s">
        <v>190</v>
      </c>
      <c r="CB58" s="117" t="s">
        <v>932</v>
      </c>
      <c r="CC58" s="117">
        <v>821</v>
      </c>
      <c r="CD58" s="117" t="s">
        <v>932</v>
      </c>
      <c r="CE58" s="117" t="s">
        <v>932</v>
      </c>
      <c r="CF58" s="117">
        <v>30</v>
      </c>
      <c r="CG58" s="117">
        <v>0.25</v>
      </c>
      <c r="CH58" s="117" t="s">
        <v>932</v>
      </c>
      <c r="CI58" s="117" t="s">
        <v>932</v>
      </c>
    </row>
    <row r="59" spans="1:87" s="117" customFormat="1" ht="25.5">
      <c r="A59" s="114">
        <v>41738.706886574073</v>
      </c>
      <c r="B59" s="115">
        <v>41738.706886574073</v>
      </c>
      <c r="C59" s="114"/>
      <c r="D59" s="115"/>
      <c r="E59" s="116" t="s">
        <v>1233</v>
      </c>
      <c r="F59" s="117" t="s">
        <v>1225</v>
      </c>
      <c r="G59" s="117" t="s">
        <v>1226</v>
      </c>
      <c r="I59" s="117">
        <v>616</v>
      </c>
      <c r="J59" s="118" t="s">
        <v>1206</v>
      </c>
      <c r="K59" s="117" t="s">
        <v>1234</v>
      </c>
      <c r="L59" s="117" t="s">
        <v>966</v>
      </c>
      <c r="T59" s="119"/>
      <c r="AK59" s="117" t="s">
        <v>1235</v>
      </c>
      <c r="AL59" s="117" t="s">
        <v>943</v>
      </c>
      <c r="AM59" s="117" t="s">
        <v>992</v>
      </c>
      <c r="AN59" s="117" t="s">
        <v>932</v>
      </c>
      <c r="AO59" s="117" t="s">
        <v>1236</v>
      </c>
      <c r="AP59" s="117" t="s">
        <v>981</v>
      </c>
      <c r="AQ59" s="117" t="s">
        <v>1080</v>
      </c>
      <c r="AR59" s="117" t="s">
        <v>942</v>
      </c>
      <c r="AS59" s="117" t="s">
        <v>943</v>
      </c>
      <c r="AT59" s="117" t="s">
        <v>933</v>
      </c>
      <c r="AU59" s="117" t="s">
        <v>932</v>
      </c>
      <c r="AV59" s="117" t="s">
        <v>933</v>
      </c>
      <c r="AW59" s="117">
        <v>0</v>
      </c>
      <c r="AX59" s="117" t="s">
        <v>933</v>
      </c>
      <c r="AY59" s="117">
        <v>0</v>
      </c>
      <c r="AZ59" s="117">
        <v>0.5</v>
      </c>
      <c r="BA59" s="117" t="s">
        <v>932</v>
      </c>
      <c r="BB59" s="117" t="s">
        <v>932</v>
      </c>
      <c r="BC59" s="117" t="s">
        <v>932</v>
      </c>
      <c r="BD59" s="117" t="s">
        <v>932</v>
      </c>
      <c r="BE59" s="117" t="s">
        <v>932</v>
      </c>
      <c r="BF59" s="117">
        <v>1</v>
      </c>
      <c r="BG59" s="117" t="s">
        <v>932</v>
      </c>
      <c r="BH59" s="117">
        <v>15</v>
      </c>
      <c r="BI59" s="117" t="s">
        <v>1083</v>
      </c>
      <c r="BJ59" s="117" t="s">
        <v>932</v>
      </c>
      <c r="BK59" s="117" t="s">
        <v>932</v>
      </c>
      <c r="BL59" s="117">
        <v>1</v>
      </c>
      <c r="BM59" s="117" t="s">
        <v>932</v>
      </c>
      <c r="BN59" s="117" t="s">
        <v>932</v>
      </c>
      <c r="BO59" s="117" t="s">
        <v>932</v>
      </c>
      <c r="BP59" s="117">
        <v>1</v>
      </c>
      <c r="BQ59" s="117" t="s">
        <v>932</v>
      </c>
      <c r="BS59" s="117">
        <v>100</v>
      </c>
      <c r="BT59" s="117" t="s">
        <v>946</v>
      </c>
      <c r="BU59" s="117" t="s">
        <v>932</v>
      </c>
      <c r="BV59" s="117">
        <v>616</v>
      </c>
      <c r="BW59" s="117">
        <v>78715</v>
      </c>
      <c r="BX59" s="117">
        <v>6.05</v>
      </c>
      <c r="BY59" s="117" t="s">
        <v>190</v>
      </c>
      <c r="CB59" s="117" t="s">
        <v>932</v>
      </c>
      <c r="CC59" s="117">
        <v>821</v>
      </c>
      <c r="CD59" s="117" t="s">
        <v>932</v>
      </c>
      <c r="CE59" s="117" t="s">
        <v>932</v>
      </c>
      <c r="CF59" s="117">
        <v>28</v>
      </c>
      <c r="CG59" s="117">
        <v>5</v>
      </c>
      <c r="CH59" s="117" t="s">
        <v>932</v>
      </c>
    </row>
    <row r="60" spans="1:87" s="117" customFormat="1" ht="25.5">
      <c r="A60" s="114">
        <v>41738.714224537034</v>
      </c>
      <c r="B60" s="115">
        <v>41738.714224537034</v>
      </c>
      <c r="C60" s="114"/>
      <c r="D60" s="115"/>
      <c r="E60" s="116" t="s">
        <v>1237</v>
      </c>
      <c r="F60" s="117" t="s">
        <v>1225</v>
      </c>
      <c r="G60" s="117" t="s">
        <v>1231</v>
      </c>
      <c r="I60" s="117">
        <v>618</v>
      </c>
      <c r="J60" s="118" t="s">
        <v>1214</v>
      </c>
      <c r="K60" s="117" t="s">
        <v>1238</v>
      </c>
      <c r="L60" s="117" t="s">
        <v>966</v>
      </c>
      <c r="T60" s="119"/>
      <c r="AK60" s="117" t="s">
        <v>1239</v>
      </c>
      <c r="AL60" s="117" t="s">
        <v>943</v>
      </c>
      <c r="AM60" s="117" t="s">
        <v>992</v>
      </c>
      <c r="AN60" s="117" t="s">
        <v>932</v>
      </c>
      <c r="AP60" s="117" t="s">
        <v>981</v>
      </c>
      <c r="AQ60" s="117" t="s">
        <v>1080</v>
      </c>
      <c r="AR60" s="117" t="s">
        <v>942</v>
      </c>
      <c r="AS60" s="117" t="s">
        <v>943</v>
      </c>
      <c r="AT60" s="117" t="s">
        <v>933</v>
      </c>
      <c r="AU60" s="117" t="s">
        <v>932</v>
      </c>
      <c r="AV60" s="117" t="s">
        <v>933</v>
      </c>
      <c r="AW60" s="117">
        <v>0</v>
      </c>
      <c r="AX60" s="117" t="s">
        <v>933</v>
      </c>
      <c r="AY60" s="117">
        <v>0</v>
      </c>
      <c r="AZ60" s="117">
        <v>6</v>
      </c>
      <c r="BA60" s="117" t="s">
        <v>932</v>
      </c>
      <c r="BB60" s="117" t="s">
        <v>932</v>
      </c>
      <c r="BC60" s="117" t="s">
        <v>932</v>
      </c>
      <c r="BD60" s="117" t="s">
        <v>932</v>
      </c>
      <c r="BE60" s="117" t="s">
        <v>932</v>
      </c>
      <c r="BF60" s="117">
        <v>1</v>
      </c>
      <c r="BG60" s="117" t="s">
        <v>932</v>
      </c>
      <c r="BH60" s="117">
        <v>15</v>
      </c>
      <c r="BI60" s="117" t="s">
        <v>1240</v>
      </c>
      <c r="BJ60" s="117" t="s">
        <v>932</v>
      </c>
      <c r="BK60" s="117" t="s">
        <v>932</v>
      </c>
      <c r="BL60" s="117">
        <v>1</v>
      </c>
      <c r="BM60" s="117" t="s">
        <v>932</v>
      </c>
      <c r="BN60" s="117" t="s">
        <v>932</v>
      </c>
      <c r="BO60" s="117" t="s">
        <v>932</v>
      </c>
      <c r="BP60" s="117">
        <v>0</v>
      </c>
      <c r="BS60" s="117">
        <v>100</v>
      </c>
      <c r="BT60" s="117" t="s">
        <v>946</v>
      </c>
      <c r="BU60" s="117" t="s">
        <v>932</v>
      </c>
      <c r="BV60" s="117">
        <v>618</v>
      </c>
      <c r="BW60" s="117" t="s">
        <v>767</v>
      </c>
      <c r="BX60" s="117">
        <v>6.05</v>
      </c>
      <c r="BY60" s="117" t="s">
        <v>190</v>
      </c>
      <c r="CB60" s="117" t="s">
        <v>932</v>
      </c>
      <c r="CC60" s="117">
        <v>821</v>
      </c>
      <c r="CD60" s="117" t="s">
        <v>932</v>
      </c>
      <c r="CE60" s="117" t="s">
        <v>932</v>
      </c>
      <c r="CF60" s="117">
        <v>32</v>
      </c>
      <c r="CG60" s="117">
        <v>1</v>
      </c>
      <c r="CH60" s="117" t="s">
        <v>932</v>
      </c>
      <c r="CI60" s="117" t="s">
        <v>932</v>
      </c>
    </row>
    <row r="61" spans="1:87" s="117" customFormat="1" ht="25.5">
      <c r="A61" s="114">
        <v>41738.719942129632</v>
      </c>
      <c r="B61" s="115">
        <v>41738.719942129632</v>
      </c>
      <c r="C61" s="114"/>
      <c r="D61" s="115"/>
      <c r="E61" s="116" t="s">
        <v>1241</v>
      </c>
      <c r="F61" s="117" t="s">
        <v>1225</v>
      </c>
      <c r="G61" s="117" t="s">
        <v>1231</v>
      </c>
      <c r="I61" s="117">
        <v>617</v>
      </c>
      <c r="J61" s="118" t="s">
        <v>950</v>
      </c>
      <c r="K61" s="117" t="s">
        <v>1242</v>
      </c>
      <c r="L61" s="117" t="s">
        <v>931</v>
      </c>
      <c r="T61" s="119"/>
      <c r="AK61" s="117" t="s">
        <v>1243</v>
      </c>
      <c r="AL61" s="117" t="s">
        <v>943</v>
      </c>
      <c r="AM61" s="117" t="s">
        <v>992</v>
      </c>
      <c r="AN61" s="117" t="s">
        <v>932</v>
      </c>
      <c r="AP61" s="117" t="s">
        <v>981</v>
      </c>
      <c r="AQ61" s="117" t="s">
        <v>1080</v>
      </c>
      <c r="AR61" s="117" t="s">
        <v>942</v>
      </c>
      <c r="AS61" s="117" t="s">
        <v>943</v>
      </c>
      <c r="AT61" s="117" t="s">
        <v>933</v>
      </c>
      <c r="AU61" s="117" t="s">
        <v>932</v>
      </c>
      <c r="AV61" s="117" t="s">
        <v>932</v>
      </c>
      <c r="AW61" s="117">
        <v>7</v>
      </c>
      <c r="AX61" s="117" t="s">
        <v>932</v>
      </c>
      <c r="AY61" s="117">
        <v>6.8</v>
      </c>
      <c r="AZ61" s="117">
        <v>4.0999999999999996</v>
      </c>
      <c r="BA61" s="117" t="s">
        <v>932</v>
      </c>
      <c r="BB61" s="117" t="s">
        <v>932</v>
      </c>
      <c r="BC61" s="117" t="s">
        <v>932</v>
      </c>
      <c r="BD61" s="117" t="s">
        <v>932</v>
      </c>
      <c r="BE61" s="117" t="s">
        <v>932</v>
      </c>
      <c r="BF61" s="117">
        <v>1</v>
      </c>
      <c r="BG61" s="117" t="s">
        <v>932</v>
      </c>
      <c r="BH61" s="117">
        <v>15</v>
      </c>
      <c r="BI61" s="117" t="s">
        <v>1244</v>
      </c>
      <c r="BJ61" s="117" t="s">
        <v>932</v>
      </c>
      <c r="BK61" s="117" t="s">
        <v>932</v>
      </c>
      <c r="BL61" s="117">
        <v>1</v>
      </c>
      <c r="BM61" s="117" t="s">
        <v>932</v>
      </c>
      <c r="BN61" s="117" t="s">
        <v>932</v>
      </c>
      <c r="BO61" s="117" t="s">
        <v>932</v>
      </c>
      <c r="BP61" s="117">
        <v>0</v>
      </c>
      <c r="BS61" s="117">
        <v>150</v>
      </c>
      <c r="BT61" s="117" t="s">
        <v>946</v>
      </c>
      <c r="BU61" s="117" t="s">
        <v>932</v>
      </c>
      <c r="BV61" s="117">
        <v>617</v>
      </c>
      <c r="BW61" s="117" t="s">
        <v>1245</v>
      </c>
      <c r="BX61" s="117">
        <v>6.05</v>
      </c>
      <c r="BY61" s="117" t="s">
        <v>190</v>
      </c>
      <c r="CB61" s="117" t="s">
        <v>932</v>
      </c>
      <c r="CC61" s="117">
        <v>821</v>
      </c>
      <c r="CD61" s="117" t="s">
        <v>932</v>
      </c>
      <c r="CE61" s="117" t="s">
        <v>932</v>
      </c>
      <c r="CF61" s="117">
        <v>31</v>
      </c>
      <c r="CG61" s="117">
        <v>1</v>
      </c>
      <c r="CH61" s="117" t="s">
        <v>932</v>
      </c>
      <c r="CI61" s="117" t="s">
        <v>932</v>
      </c>
    </row>
    <row r="62" spans="1:87" s="117" customFormat="1" ht="25.5">
      <c r="A62" s="114">
        <v>41738.725405092591</v>
      </c>
      <c r="B62" s="115">
        <v>41738.725405092591</v>
      </c>
      <c r="C62" s="114"/>
      <c r="D62" s="115"/>
      <c r="E62" s="116" t="s">
        <v>1246</v>
      </c>
      <c r="F62" s="117" t="s">
        <v>1225</v>
      </c>
      <c r="G62" s="117" t="s">
        <v>1231</v>
      </c>
      <c r="I62" s="117">
        <v>613</v>
      </c>
      <c r="J62" s="118" t="s">
        <v>998</v>
      </c>
      <c r="K62" s="117" t="s">
        <v>1247</v>
      </c>
      <c r="L62" s="117" t="s">
        <v>931</v>
      </c>
      <c r="T62" s="119"/>
      <c r="AK62" s="117" t="s">
        <v>1248</v>
      </c>
      <c r="AL62" s="117" t="s">
        <v>943</v>
      </c>
      <c r="AM62" s="117" t="s">
        <v>992</v>
      </c>
      <c r="AN62" s="117" t="s">
        <v>932</v>
      </c>
      <c r="AO62" s="117" t="s">
        <v>1249</v>
      </c>
      <c r="AP62" s="117" t="s">
        <v>981</v>
      </c>
      <c r="AQ62" s="117" t="s">
        <v>1080</v>
      </c>
      <c r="AR62" s="117" t="s">
        <v>942</v>
      </c>
      <c r="AS62" s="117" t="s">
        <v>943</v>
      </c>
      <c r="AT62" s="117" t="s">
        <v>933</v>
      </c>
      <c r="AU62" s="117" t="s">
        <v>933</v>
      </c>
      <c r="AV62" s="117" t="s">
        <v>933</v>
      </c>
      <c r="AW62" s="117">
        <v>114</v>
      </c>
      <c r="AX62" s="117" t="s">
        <v>933</v>
      </c>
      <c r="AY62" s="117">
        <v>110</v>
      </c>
      <c r="AZ62" s="117">
        <v>5.5</v>
      </c>
      <c r="BA62" s="117" t="s">
        <v>932</v>
      </c>
      <c r="BB62" s="117" t="s">
        <v>932</v>
      </c>
      <c r="BC62" s="117" t="s">
        <v>932</v>
      </c>
      <c r="BD62" s="117" t="s">
        <v>932</v>
      </c>
      <c r="BE62" s="117" t="s">
        <v>932</v>
      </c>
      <c r="BF62" s="117">
        <v>1</v>
      </c>
      <c r="BG62" s="117" t="s">
        <v>932</v>
      </c>
      <c r="BH62" s="117">
        <v>15</v>
      </c>
      <c r="BI62" s="117" t="s">
        <v>1250</v>
      </c>
      <c r="BJ62" s="117" t="s">
        <v>932</v>
      </c>
      <c r="BK62" s="117" t="s">
        <v>932</v>
      </c>
      <c r="BL62" s="117">
        <v>1</v>
      </c>
      <c r="BM62" s="117" t="s">
        <v>932</v>
      </c>
      <c r="BN62" s="117" t="s">
        <v>932</v>
      </c>
      <c r="BO62" s="117" t="s">
        <v>932</v>
      </c>
      <c r="BP62" s="117">
        <v>0</v>
      </c>
      <c r="BS62" s="117">
        <v>20</v>
      </c>
      <c r="BT62" s="117" t="s">
        <v>946</v>
      </c>
      <c r="BU62" s="117" t="s">
        <v>932</v>
      </c>
      <c r="BV62" s="117">
        <v>613</v>
      </c>
      <c r="BW62" s="117" t="s">
        <v>1251</v>
      </c>
      <c r="BX62" s="117">
        <v>6.05</v>
      </c>
      <c r="BY62" s="117" t="s">
        <v>190</v>
      </c>
      <c r="CB62" s="117" t="s">
        <v>932</v>
      </c>
      <c r="CC62" s="117">
        <v>821</v>
      </c>
      <c r="CD62" s="117" t="s">
        <v>932</v>
      </c>
      <c r="CE62" s="117" t="s">
        <v>932</v>
      </c>
      <c r="CF62" s="117">
        <v>125</v>
      </c>
      <c r="CG62" s="117">
        <v>12</v>
      </c>
      <c r="CH62" s="117" t="s">
        <v>932</v>
      </c>
      <c r="CI62" s="117" t="s">
        <v>932</v>
      </c>
    </row>
    <row r="63" spans="1:87" s="117" customFormat="1" ht="25.5">
      <c r="A63" s="114">
        <v>41738.731712962966</v>
      </c>
      <c r="B63" s="115">
        <v>41738.731712962966</v>
      </c>
      <c r="C63" s="114"/>
      <c r="D63" s="115"/>
      <c r="E63" s="116" t="s">
        <v>934</v>
      </c>
      <c r="J63" s="118"/>
      <c r="T63" s="119"/>
    </row>
    <row r="64" spans="1:87" s="117" customFormat="1" ht="25.5">
      <c r="A64" s="114">
        <v>41739.417766203704</v>
      </c>
      <c r="B64" s="115">
        <v>41739.417766203704</v>
      </c>
      <c r="C64" s="114">
        <v>41739.45988425926</v>
      </c>
      <c r="D64" s="115">
        <v>41739.45988425926</v>
      </c>
      <c r="E64" s="116" t="s">
        <v>1262</v>
      </c>
      <c r="F64" s="117" t="s">
        <v>1253</v>
      </c>
      <c r="G64" s="117" t="s">
        <v>1254</v>
      </c>
      <c r="H64" s="117">
        <v>9895503661</v>
      </c>
      <c r="I64" s="117">
        <v>627</v>
      </c>
      <c r="J64" s="118" t="s">
        <v>998</v>
      </c>
      <c r="K64" s="117" t="s">
        <v>1263</v>
      </c>
      <c r="L64" s="117" t="s">
        <v>966</v>
      </c>
      <c r="T64" s="119"/>
      <c r="AK64" s="117" t="s">
        <v>1191</v>
      </c>
      <c r="AL64" s="117" t="s">
        <v>943</v>
      </c>
      <c r="AM64" s="117" t="s">
        <v>1088</v>
      </c>
      <c r="AN64" s="117" t="s">
        <v>932</v>
      </c>
      <c r="AO64" s="117" t="s">
        <v>1264</v>
      </c>
      <c r="AP64" s="117" t="s">
        <v>1080</v>
      </c>
      <c r="AQ64" s="117" t="s">
        <v>1265</v>
      </c>
      <c r="AR64" s="117" t="s">
        <v>943</v>
      </c>
      <c r="AS64" s="117" t="s">
        <v>943</v>
      </c>
      <c r="AT64" s="117" t="s">
        <v>933</v>
      </c>
      <c r="AU64" s="117" t="s">
        <v>932</v>
      </c>
      <c r="AV64" s="117" t="s">
        <v>932</v>
      </c>
      <c r="AW64" s="117" t="s">
        <v>944</v>
      </c>
      <c r="AX64" s="117" t="s">
        <v>932</v>
      </c>
      <c r="AY64" s="117">
        <v>61</v>
      </c>
      <c r="AZ64" s="117">
        <v>121</v>
      </c>
      <c r="BA64" s="117" t="s">
        <v>932</v>
      </c>
      <c r="BB64" s="117" t="s">
        <v>933</v>
      </c>
      <c r="BC64" s="117" t="s">
        <v>932</v>
      </c>
      <c r="BD64" s="117" t="s">
        <v>932</v>
      </c>
      <c r="BE64" s="117" t="s">
        <v>932</v>
      </c>
      <c r="BF64" s="117">
        <v>1</v>
      </c>
      <c r="BG64" s="117" t="s">
        <v>932</v>
      </c>
      <c r="BH64" s="117">
        <v>15</v>
      </c>
      <c r="BI64" s="117" t="s">
        <v>1083</v>
      </c>
      <c r="BJ64" s="117" t="s">
        <v>932</v>
      </c>
      <c r="BK64" s="117" t="s">
        <v>932</v>
      </c>
      <c r="BL64" s="117">
        <v>1</v>
      </c>
      <c r="BM64" s="117" t="s">
        <v>932</v>
      </c>
      <c r="BN64" s="117" t="s">
        <v>932</v>
      </c>
      <c r="BO64" s="117" t="s">
        <v>932</v>
      </c>
      <c r="BP64" s="117">
        <v>1</v>
      </c>
      <c r="BQ64" s="117" t="s">
        <v>933</v>
      </c>
      <c r="BR64" s="117">
        <v>400</v>
      </c>
      <c r="BS64" s="117">
        <v>100</v>
      </c>
      <c r="BT64" s="117" t="s">
        <v>946</v>
      </c>
      <c r="BU64" s="117" t="s">
        <v>932</v>
      </c>
      <c r="BV64" s="117">
        <v>627</v>
      </c>
      <c r="BW64" s="117" t="s">
        <v>1266</v>
      </c>
      <c r="BX64" s="117">
        <v>6.5</v>
      </c>
      <c r="BY64" s="117" t="s">
        <v>190</v>
      </c>
      <c r="CB64" s="117" t="s">
        <v>932</v>
      </c>
      <c r="CC64" s="117" t="s">
        <v>1443</v>
      </c>
      <c r="CD64" s="117" t="s">
        <v>932</v>
      </c>
      <c r="CE64" s="117" t="s">
        <v>932</v>
      </c>
      <c r="CF64" s="117">
        <v>30</v>
      </c>
      <c r="CG64" s="117">
        <v>3</v>
      </c>
      <c r="CH64" s="117" t="s">
        <v>932</v>
      </c>
      <c r="CI64" s="117" t="s">
        <v>932</v>
      </c>
    </row>
    <row r="65" spans="1:87" s="117" customFormat="1" ht="25.5">
      <c r="A65" s="114">
        <v>41739.561400462961</v>
      </c>
      <c r="B65" s="115">
        <v>41739.561400462961</v>
      </c>
      <c r="C65" s="114">
        <v>41739.576643518521</v>
      </c>
      <c r="D65" s="115">
        <v>41739.576643518521</v>
      </c>
      <c r="E65" s="116" t="s">
        <v>1275</v>
      </c>
      <c r="G65" s="117" t="s">
        <v>1269</v>
      </c>
      <c r="H65" s="117">
        <v>98905501178</v>
      </c>
      <c r="I65" s="117">
        <v>554</v>
      </c>
      <c r="J65" s="118" t="s">
        <v>1276</v>
      </c>
      <c r="K65" s="117" t="s">
        <v>1277</v>
      </c>
      <c r="T65" s="119"/>
      <c r="AK65" s="117" t="s">
        <v>1278</v>
      </c>
      <c r="AL65" s="117" t="s">
        <v>943</v>
      </c>
      <c r="AM65" s="117" t="s">
        <v>992</v>
      </c>
      <c r="AO65" s="117" t="s">
        <v>1279</v>
      </c>
      <c r="AP65" s="117" t="s">
        <v>1080</v>
      </c>
      <c r="AQ65" s="117" t="s">
        <v>1255</v>
      </c>
      <c r="AR65" s="117" t="s">
        <v>942</v>
      </c>
      <c r="AS65" s="117" t="s">
        <v>943</v>
      </c>
      <c r="AT65" s="117" t="s">
        <v>933</v>
      </c>
      <c r="AU65" s="117" t="s">
        <v>932</v>
      </c>
      <c r="AV65" s="117" t="s">
        <v>933</v>
      </c>
      <c r="AW65" s="117">
        <v>49</v>
      </c>
      <c r="AX65" s="117" t="s">
        <v>933</v>
      </c>
      <c r="AY65" s="117" t="s">
        <v>944</v>
      </c>
      <c r="AZ65" s="117">
        <v>47</v>
      </c>
      <c r="BA65" s="117" t="s">
        <v>932</v>
      </c>
      <c r="BB65" s="117" t="s">
        <v>932</v>
      </c>
      <c r="BC65" s="117" t="s">
        <v>932</v>
      </c>
      <c r="BD65" s="117" t="s">
        <v>932</v>
      </c>
      <c r="BE65" s="117" t="s">
        <v>932</v>
      </c>
      <c r="BF65" s="117">
        <v>3</v>
      </c>
      <c r="BG65" s="117" t="s">
        <v>933</v>
      </c>
      <c r="BH65" s="117">
        <v>15</v>
      </c>
      <c r="BI65" s="117" t="s">
        <v>936</v>
      </c>
      <c r="BJ65" s="117" t="s">
        <v>932</v>
      </c>
      <c r="BK65" s="117" t="s">
        <v>932</v>
      </c>
      <c r="BL65" s="117">
        <v>1</v>
      </c>
      <c r="BM65" s="117" t="s">
        <v>932</v>
      </c>
      <c r="BO65" s="117" t="s">
        <v>932</v>
      </c>
      <c r="BP65" s="117">
        <v>0</v>
      </c>
      <c r="BS65" s="117">
        <v>100</v>
      </c>
      <c r="BT65" s="117" t="s">
        <v>946</v>
      </c>
      <c r="BV65" s="117">
        <v>554</v>
      </c>
      <c r="BW65" s="117" t="s">
        <v>1280</v>
      </c>
      <c r="BX65" s="117">
        <v>6.05</v>
      </c>
      <c r="BY65" s="117" t="s">
        <v>190</v>
      </c>
      <c r="CB65" s="117" t="s">
        <v>932</v>
      </c>
      <c r="CC65" s="117" t="s">
        <v>1443</v>
      </c>
      <c r="CD65" s="117" t="s">
        <v>932</v>
      </c>
      <c r="CE65" s="117" t="s">
        <v>932</v>
      </c>
      <c r="CF65" s="117">
        <v>30</v>
      </c>
      <c r="CG65" s="117">
        <v>0</v>
      </c>
      <c r="CH65" s="117" t="s">
        <v>932</v>
      </c>
      <c r="CI65" s="117" t="s">
        <v>932</v>
      </c>
    </row>
    <row r="66" spans="1:87" s="117" customFormat="1" ht="14.25" customHeight="1">
      <c r="A66" s="114">
        <v>41739.604421296295</v>
      </c>
      <c r="B66" s="115">
        <v>41739.604421296295</v>
      </c>
      <c r="C66" s="114">
        <v>41739.623668981483</v>
      </c>
      <c r="D66" s="115">
        <v>41739.623668981483</v>
      </c>
      <c r="E66" s="116" t="s">
        <v>1288</v>
      </c>
      <c r="F66" s="117" t="s">
        <v>1268</v>
      </c>
      <c r="G66" s="117" t="s">
        <v>1269</v>
      </c>
      <c r="H66" s="117">
        <v>9895501178</v>
      </c>
      <c r="I66" s="117">
        <v>558</v>
      </c>
      <c r="J66" s="118" t="s">
        <v>1144</v>
      </c>
      <c r="K66" s="117" t="s">
        <v>977</v>
      </c>
      <c r="L66" s="117" t="s">
        <v>1186</v>
      </c>
      <c r="T66" s="119"/>
      <c r="AK66" s="117" t="s">
        <v>1164</v>
      </c>
      <c r="AL66" s="117" t="s">
        <v>943</v>
      </c>
      <c r="AM66" s="117" t="s">
        <v>1088</v>
      </c>
      <c r="AN66" s="117" t="s">
        <v>945</v>
      </c>
      <c r="AP66" s="117" t="s">
        <v>1080</v>
      </c>
      <c r="AQ66" s="117" t="s">
        <v>1265</v>
      </c>
      <c r="AR66" s="117" t="s">
        <v>943</v>
      </c>
      <c r="BT66" s="117" t="s">
        <v>946</v>
      </c>
      <c r="BW66" s="117" t="s">
        <v>1289</v>
      </c>
    </row>
    <row r="67" spans="1:87" s="117" customFormat="1" ht="25.5">
      <c r="A67" s="114">
        <v>41739.721689814818</v>
      </c>
      <c r="B67" s="115">
        <v>41739.721689814818</v>
      </c>
      <c r="C67" s="114">
        <v>41739.735833333332</v>
      </c>
      <c r="D67" s="115">
        <v>41739.735833333332</v>
      </c>
      <c r="E67" s="116" t="s">
        <v>1298</v>
      </c>
      <c r="F67" s="117" t="s">
        <v>1294</v>
      </c>
      <c r="G67" s="117" t="s">
        <v>1295</v>
      </c>
      <c r="I67" s="117">
        <v>606</v>
      </c>
      <c r="J67" s="118" t="s">
        <v>1299</v>
      </c>
      <c r="K67" s="117" t="s">
        <v>977</v>
      </c>
      <c r="L67" s="117" t="s">
        <v>966</v>
      </c>
      <c r="T67" s="119"/>
      <c r="AK67" s="117" t="s">
        <v>1164</v>
      </c>
      <c r="AL67" s="117" t="s">
        <v>943</v>
      </c>
      <c r="AM67" s="117" t="s">
        <v>1300</v>
      </c>
      <c r="AN67" s="117" t="s">
        <v>932</v>
      </c>
      <c r="AO67" s="117" t="s">
        <v>1301</v>
      </c>
      <c r="AP67" s="117" t="s">
        <v>981</v>
      </c>
      <c r="AQ67" s="117" t="s">
        <v>1265</v>
      </c>
      <c r="AR67" s="117" t="s">
        <v>943</v>
      </c>
      <c r="AS67" s="117" t="s">
        <v>943</v>
      </c>
      <c r="AT67" s="117" t="s">
        <v>933</v>
      </c>
      <c r="AU67" s="117" t="s">
        <v>933</v>
      </c>
      <c r="AV67" s="117" t="s">
        <v>933</v>
      </c>
      <c r="AW67" s="117" t="s">
        <v>944</v>
      </c>
      <c r="AX67" s="117" t="s">
        <v>933</v>
      </c>
      <c r="AY67" s="117">
        <v>44</v>
      </c>
      <c r="AZ67" s="117">
        <v>11</v>
      </c>
      <c r="BA67" s="117" t="s">
        <v>932</v>
      </c>
      <c r="BB67" s="117" t="s">
        <v>932</v>
      </c>
      <c r="BC67" s="117" t="s">
        <v>932</v>
      </c>
      <c r="BE67" s="117" t="s">
        <v>932</v>
      </c>
      <c r="BF67" s="117">
        <v>1</v>
      </c>
      <c r="BG67" s="117" t="s">
        <v>932</v>
      </c>
      <c r="BH67" s="117">
        <v>15</v>
      </c>
      <c r="BI67" s="117" t="s">
        <v>1083</v>
      </c>
      <c r="BJ67" s="117" t="s">
        <v>932</v>
      </c>
      <c r="BK67" s="117" t="s">
        <v>933</v>
      </c>
      <c r="BO67" s="117" t="s">
        <v>932</v>
      </c>
      <c r="BP67" s="117">
        <v>0</v>
      </c>
      <c r="BQ67" s="117" t="s">
        <v>933</v>
      </c>
      <c r="BS67" s="117">
        <v>100</v>
      </c>
      <c r="BT67" s="117" t="s">
        <v>946</v>
      </c>
      <c r="BU67" s="117" t="s">
        <v>932</v>
      </c>
      <c r="BV67" s="117">
        <v>606</v>
      </c>
      <c r="BW67" s="117" t="s">
        <v>1302</v>
      </c>
      <c r="BX67" s="117">
        <v>6.05</v>
      </c>
      <c r="BY67" s="117" t="s">
        <v>190</v>
      </c>
      <c r="CB67" s="117" t="s">
        <v>932</v>
      </c>
      <c r="CC67" s="117" t="s">
        <v>1443</v>
      </c>
      <c r="CD67" s="117" t="s">
        <v>932</v>
      </c>
      <c r="CE67" s="117" t="s">
        <v>932</v>
      </c>
      <c r="CF67" s="117">
        <v>30</v>
      </c>
      <c r="CG67" s="117">
        <v>1</v>
      </c>
      <c r="CH67" s="117" t="s">
        <v>932</v>
      </c>
      <c r="CI67" s="117" t="s">
        <v>932</v>
      </c>
    </row>
    <row r="68" spans="1:87" s="117" customFormat="1" ht="25.5">
      <c r="A68" s="114">
        <v>41739.738877314812</v>
      </c>
      <c r="B68" s="115">
        <v>41739.738877314812</v>
      </c>
      <c r="C68" s="114">
        <v>41739.741412037038</v>
      </c>
      <c r="D68" s="115">
        <v>41739.741412037038</v>
      </c>
      <c r="E68" s="116" t="s">
        <v>1303</v>
      </c>
      <c r="F68" s="117" t="s">
        <v>1304</v>
      </c>
      <c r="J68" s="118"/>
      <c r="T68" s="119"/>
      <c r="BT68" s="117" t="s">
        <v>1305</v>
      </c>
      <c r="BW68" s="117" t="s">
        <v>1305</v>
      </c>
    </row>
    <row r="69" spans="1:87" s="117" customFormat="1" ht="25.5">
      <c r="A69" s="114">
        <v>41740.399097222224</v>
      </c>
      <c r="B69" s="115">
        <v>41740.399097222224</v>
      </c>
      <c r="C69" s="114"/>
      <c r="D69" s="115"/>
      <c r="E69" s="116" t="s">
        <v>1306</v>
      </c>
      <c r="F69" s="117" t="s">
        <v>1307</v>
      </c>
      <c r="G69" s="117" t="s">
        <v>1308</v>
      </c>
      <c r="H69" s="117">
        <v>9895500652</v>
      </c>
      <c r="I69" s="117">
        <v>575</v>
      </c>
      <c r="J69" s="118" t="s">
        <v>1309</v>
      </c>
      <c r="K69" s="117" t="s">
        <v>1310</v>
      </c>
      <c r="L69" s="117" t="s">
        <v>966</v>
      </c>
      <c r="T69" s="119"/>
      <c r="AK69" s="117" t="s">
        <v>936</v>
      </c>
      <c r="AL69" s="117" t="s">
        <v>943</v>
      </c>
      <c r="AM69" s="117" t="s">
        <v>992</v>
      </c>
      <c r="AN69" s="117" t="s">
        <v>932</v>
      </c>
      <c r="AP69" s="117" t="s">
        <v>981</v>
      </c>
      <c r="AQ69" s="117" t="s">
        <v>1080</v>
      </c>
      <c r="AR69" s="117" t="s">
        <v>942</v>
      </c>
      <c r="AS69" s="117" t="s">
        <v>943</v>
      </c>
      <c r="AT69" s="117" t="s">
        <v>933</v>
      </c>
      <c r="AU69" s="117" t="s">
        <v>932</v>
      </c>
      <c r="AV69" s="117" t="s">
        <v>933</v>
      </c>
      <c r="AW69" s="117">
        <v>0</v>
      </c>
      <c r="AX69" s="117" t="s">
        <v>933</v>
      </c>
      <c r="AY69" s="117">
        <v>0</v>
      </c>
      <c r="AZ69" s="117">
        <v>0.1</v>
      </c>
      <c r="BA69" s="117" t="s">
        <v>932</v>
      </c>
      <c r="BB69" s="117" t="s">
        <v>932</v>
      </c>
      <c r="BC69" s="117" t="s">
        <v>932</v>
      </c>
      <c r="BD69" s="117" t="s">
        <v>932</v>
      </c>
      <c r="BE69" s="117" t="s">
        <v>932</v>
      </c>
      <c r="BH69" s="117">
        <v>15</v>
      </c>
      <c r="BI69" s="117" t="s">
        <v>1311</v>
      </c>
      <c r="BJ69" s="117" t="s">
        <v>932</v>
      </c>
      <c r="BK69" s="117" t="s">
        <v>932</v>
      </c>
      <c r="BL69" s="117">
        <v>0.75</v>
      </c>
      <c r="BM69" s="117" t="s">
        <v>932</v>
      </c>
      <c r="BN69" s="117" t="s">
        <v>932</v>
      </c>
      <c r="BO69" s="117" t="s">
        <v>932</v>
      </c>
      <c r="BP69" s="117">
        <v>1</v>
      </c>
      <c r="BQ69" s="117" t="s">
        <v>932</v>
      </c>
      <c r="BS69" s="117">
        <v>100</v>
      </c>
      <c r="BT69" s="117" t="s">
        <v>946</v>
      </c>
      <c r="BU69" s="117" t="s">
        <v>932</v>
      </c>
      <c r="BV69" s="117">
        <v>575</v>
      </c>
      <c r="BW69" s="117" t="s">
        <v>1312</v>
      </c>
      <c r="BX69" s="117">
        <v>6.05</v>
      </c>
      <c r="BY69" s="117" t="s">
        <v>190</v>
      </c>
      <c r="CB69" s="117" t="s">
        <v>932</v>
      </c>
      <c r="CC69" s="117">
        <v>821</v>
      </c>
      <c r="CD69" s="117" t="s">
        <v>932</v>
      </c>
      <c r="CE69" s="117" t="s">
        <v>932</v>
      </c>
      <c r="CF69" s="117">
        <v>27</v>
      </c>
      <c r="CG69" s="117">
        <v>0.75</v>
      </c>
      <c r="CH69" s="117" t="s">
        <v>932</v>
      </c>
      <c r="CI69" s="117" t="s">
        <v>932</v>
      </c>
    </row>
    <row r="70" spans="1:87" s="117" customFormat="1" ht="25.5">
      <c r="A70" s="114">
        <v>41740.503738425927</v>
      </c>
      <c r="B70" s="115">
        <v>41740.503738425927</v>
      </c>
      <c r="C70" s="114"/>
      <c r="D70" s="115"/>
      <c r="E70" s="116" t="s">
        <v>1316</v>
      </c>
      <c r="F70" s="117" t="s">
        <v>1304</v>
      </c>
      <c r="G70" s="117" t="s">
        <v>1308</v>
      </c>
      <c r="H70" s="117">
        <v>8563603</v>
      </c>
      <c r="I70" s="117">
        <v>577</v>
      </c>
      <c r="J70" s="118" t="s">
        <v>998</v>
      </c>
      <c r="K70" s="117" t="s">
        <v>1317</v>
      </c>
      <c r="L70" s="117" t="s">
        <v>966</v>
      </c>
      <c r="T70" s="119"/>
      <c r="AK70" s="117" t="s">
        <v>1318</v>
      </c>
      <c r="AL70" s="117" t="s">
        <v>943</v>
      </c>
      <c r="AM70" s="117" t="s">
        <v>992</v>
      </c>
      <c r="AN70" s="117" t="s">
        <v>932</v>
      </c>
      <c r="AP70" s="117" t="s">
        <v>981</v>
      </c>
      <c r="AQ70" s="117" t="s">
        <v>1080</v>
      </c>
      <c r="AR70" s="117" t="s">
        <v>942</v>
      </c>
      <c r="AS70" s="117" t="s">
        <v>943</v>
      </c>
      <c r="AT70" s="117" t="s">
        <v>933</v>
      </c>
      <c r="AU70" s="117" t="s">
        <v>933</v>
      </c>
      <c r="AV70" s="117" t="s">
        <v>932</v>
      </c>
      <c r="AW70" s="117">
        <v>0</v>
      </c>
      <c r="AX70" s="117" t="s">
        <v>932</v>
      </c>
      <c r="AY70" s="117">
        <v>0</v>
      </c>
      <c r="AZ70" s="117">
        <v>2.2000000000000002</v>
      </c>
      <c r="BA70" s="117" t="s">
        <v>932</v>
      </c>
      <c r="BB70" s="117" t="s">
        <v>933</v>
      </c>
      <c r="BC70" s="117" t="s">
        <v>932</v>
      </c>
      <c r="BE70" s="117" t="s">
        <v>932</v>
      </c>
      <c r="BF70" s="117">
        <v>1</v>
      </c>
      <c r="BG70" s="117" t="s">
        <v>933</v>
      </c>
      <c r="BH70" s="117">
        <v>15</v>
      </c>
      <c r="BI70" s="117" t="s">
        <v>1319</v>
      </c>
      <c r="BJ70" s="117" t="s">
        <v>933</v>
      </c>
      <c r="BK70" s="117" t="s">
        <v>932</v>
      </c>
      <c r="BL70" s="117">
        <v>1</v>
      </c>
      <c r="BM70" s="117" t="s">
        <v>932</v>
      </c>
      <c r="BO70" s="117" t="s">
        <v>932</v>
      </c>
      <c r="BP70" s="117">
        <v>0</v>
      </c>
      <c r="BR70" s="117">
        <v>50</v>
      </c>
      <c r="BS70" s="117">
        <v>400</v>
      </c>
      <c r="BT70" s="117" t="s">
        <v>1187</v>
      </c>
      <c r="BU70" s="117" t="s">
        <v>932</v>
      </c>
      <c r="BV70" s="117">
        <v>577</v>
      </c>
      <c r="BW70" s="117" t="s">
        <v>1320</v>
      </c>
      <c r="BX70" s="117">
        <v>6.05</v>
      </c>
      <c r="BY70" s="117" t="s">
        <v>190</v>
      </c>
      <c r="CB70" s="117" t="s">
        <v>932</v>
      </c>
      <c r="CC70" s="117">
        <v>821</v>
      </c>
      <c r="CF70" s="117">
        <v>31</v>
      </c>
      <c r="CG70" s="117">
        <v>0.5</v>
      </c>
      <c r="CH70" s="117" t="s">
        <v>932</v>
      </c>
      <c r="CI70" s="117" t="s">
        <v>932</v>
      </c>
    </row>
    <row r="71" spans="1:87" s="117" customFormat="1" ht="25.5">
      <c r="A71" s="114">
        <v>41740.668495370373</v>
      </c>
      <c r="B71" s="115">
        <v>41740.668495370373</v>
      </c>
      <c r="C71" s="114"/>
      <c r="D71" s="115"/>
      <c r="E71" s="116" t="s">
        <v>1327</v>
      </c>
      <c r="F71" s="117" t="s">
        <v>1304</v>
      </c>
      <c r="G71" s="117" t="s">
        <v>1322</v>
      </c>
      <c r="H71" s="117">
        <v>8563603</v>
      </c>
      <c r="I71" s="117">
        <v>578</v>
      </c>
      <c r="J71" s="118" t="s">
        <v>1023</v>
      </c>
      <c r="K71" s="117" t="s">
        <v>1328</v>
      </c>
      <c r="L71" s="117" t="s">
        <v>966</v>
      </c>
      <c r="T71" s="119"/>
      <c r="AK71" s="117" t="s">
        <v>1329</v>
      </c>
      <c r="AL71" s="117" t="s">
        <v>943</v>
      </c>
      <c r="AM71" s="117" t="s">
        <v>1187</v>
      </c>
      <c r="AN71" s="117" t="s">
        <v>932</v>
      </c>
      <c r="AP71" s="117" t="s">
        <v>1330</v>
      </c>
      <c r="AQ71" s="117" t="s">
        <v>1187</v>
      </c>
      <c r="AR71" s="117" t="s">
        <v>942</v>
      </c>
      <c r="AS71" s="117" t="s">
        <v>943</v>
      </c>
      <c r="AT71" s="117" t="s">
        <v>933</v>
      </c>
      <c r="AU71" s="117" t="s">
        <v>932</v>
      </c>
      <c r="AV71" s="117" t="s">
        <v>932</v>
      </c>
      <c r="AW71" s="117">
        <v>0</v>
      </c>
      <c r="AX71" s="117" t="s">
        <v>932</v>
      </c>
      <c r="AY71" s="117">
        <v>0</v>
      </c>
      <c r="AZ71" s="117">
        <v>0</v>
      </c>
      <c r="BA71" s="117" t="s">
        <v>932</v>
      </c>
      <c r="BB71" s="117" t="s">
        <v>932</v>
      </c>
      <c r="BC71" s="117" t="s">
        <v>932</v>
      </c>
      <c r="BD71" s="117" t="s">
        <v>932</v>
      </c>
      <c r="BE71" s="117" t="s">
        <v>932</v>
      </c>
      <c r="BF71" s="117">
        <v>1</v>
      </c>
      <c r="BG71" s="117" t="s">
        <v>932</v>
      </c>
      <c r="BH71" s="117">
        <v>15</v>
      </c>
      <c r="BI71" s="117" t="s">
        <v>1311</v>
      </c>
      <c r="BJ71" s="117" t="s">
        <v>932</v>
      </c>
      <c r="BK71" s="117" t="s">
        <v>932</v>
      </c>
      <c r="BL71" s="117">
        <v>1</v>
      </c>
      <c r="BM71" s="117" t="s">
        <v>932</v>
      </c>
      <c r="BN71" s="117" t="s">
        <v>932</v>
      </c>
      <c r="BO71" s="117" t="s">
        <v>932</v>
      </c>
      <c r="BP71" s="117">
        <v>1</v>
      </c>
      <c r="BQ71" s="117" t="s">
        <v>932</v>
      </c>
      <c r="BS71" s="117">
        <v>50</v>
      </c>
      <c r="BT71" s="117" t="s">
        <v>946</v>
      </c>
      <c r="BU71" s="117" t="s">
        <v>932</v>
      </c>
      <c r="BV71" s="117">
        <v>578</v>
      </c>
      <c r="BW71" s="117" t="s">
        <v>812</v>
      </c>
      <c r="BX71" s="117">
        <v>6.05</v>
      </c>
      <c r="BY71" s="117" t="s">
        <v>190</v>
      </c>
      <c r="CB71" s="117" t="s">
        <v>932</v>
      </c>
      <c r="CC71" s="117">
        <v>821</v>
      </c>
      <c r="CD71" s="117" t="s">
        <v>932</v>
      </c>
      <c r="CE71" s="117" t="s">
        <v>932</v>
      </c>
      <c r="CF71" s="117">
        <v>26</v>
      </c>
      <c r="CG71" s="117">
        <v>0</v>
      </c>
      <c r="CH71" s="117" t="s">
        <v>932</v>
      </c>
      <c r="CI71" s="117" t="s">
        <v>932</v>
      </c>
    </row>
    <row r="72" spans="1:87" s="117" customFormat="1" ht="25.5">
      <c r="A72" s="114">
        <v>41740.726469907408</v>
      </c>
      <c r="B72" s="115">
        <v>41740.726469907408</v>
      </c>
      <c r="C72" s="114"/>
      <c r="D72" s="115"/>
      <c r="E72" s="116" t="s">
        <v>1331</v>
      </c>
      <c r="F72" s="117" t="s">
        <v>1307</v>
      </c>
      <c r="G72" s="117" t="s">
        <v>1322</v>
      </c>
      <c r="I72" s="117" t="s">
        <v>1187</v>
      </c>
      <c r="J72" s="118" t="s">
        <v>1187</v>
      </c>
      <c r="K72" s="117" t="s">
        <v>1187</v>
      </c>
      <c r="T72" s="119"/>
      <c r="BA72" s="117" t="s">
        <v>932</v>
      </c>
      <c r="BC72" s="117" t="s">
        <v>932</v>
      </c>
      <c r="BD72" s="117" t="s">
        <v>932</v>
      </c>
      <c r="BE72" s="117" t="s">
        <v>932</v>
      </c>
      <c r="BH72" s="117">
        <v>15</v>
      </c>
      <c r="BK72" s="117" t="s">
        <v>932</v>
      </c>
      <c r="BL72" s="117">
        <v>1</v>
      </c>
      <c r="BM72" s="117" t="s">
        <v>932</v>
      </c>
      <c r="BN72" s="117" t="s">
        <v>932</v>
      </c>
      <c r="BO72" s="117" t="s">
        <v>932</v>
      </c>
      <c r="BT72" s="117" t="s">
        <v>946</v>
      </c>
      <c r="BU72" s="117" t="s">
        <v>932</v>
      </c>
      <c r="BV72" s="117">
        <v>570</v>
      </c>
      <c r="BW72" s="117" t="s">
        <v>1332</v>
      </c>
      <c r="BX72" s="117">
        <v>6.05</v>
      </c>
      <c r="BY72" s="117" t="s">
        <v>190</v>
      </c>
      <c r="CB72" s="117" t="s">
        <v>932</v>
      </c>
      <c r="CC72" s="117">
        <v>821</v>
      </c>
      <c r="CD72" s="117" t="s">
        <v>932</v>
      </c>
      <c r="CE72" s="117" t="s">
        <v>932</v>
      </c>
      <c r="CF72" s="117">
        <v>31</v>
      </c>
      <c r="CG72" s="117">
        <v>0.75</v>
      </c>
      <c r="CH72" s="117" t="s">
        <v>932</v>
      </c>
      <c r="CI72" s="117" t="s">
        <v>932</v>
      </c>
    </row>
    <row r="73" spans="1:87" s="117" customFormat="1" ht="25.5">
      <c r="A73" s="114">
        <v>41740.733136574076</v>
      </c>
      <c r="B73" s="115">
        <v>41740.733136574076</v>
      </c>
      <c r="C73" s="114"/>
      <c r="D73" s="115"/>
      <c r="E73" s="116" t="s">
        <v>1333</v>
      </c>
      <c r="F73" s="117" t="s">
        <v>1304</v>
      </c>
      <c r="G73" s="117" t="s">
        <v>1322</v>
      </c>
      <c r="H73" s="117">
        <v>8563603</v>
      </c>
      <c r="I73" s="117">
        <v>152</v>
      </c>
      <c r="J73" s="118" t="s">
        <v>1334</v>
      </c>
      <c r="L73" s="117" t="s">
        <v>931</v>
      </c>
      <c r="T73" s="119"/>
      <c r="AK73" s="117" t="s">
        <v>1335</v>
      </c>
      <c r="AL73" s="117" t="s">
        <v>943</v>
      </c>
      <c r="AM73" s="117" t="s">
        <v>1336</v>
      </c>
      <c r="AN73" s="117" t="s">
        <v>932</v>
      </c>
      <c r="AP73" s="117" t="s">
        <v>1187</v>
      </c>
      <c r="AR73" s="117" t="s">
        <v>942</v>
      </c>
      <c r="AS73" s="117" t="s">
        <v>943</v>
      </c>
      <c r="AT73" s="117" t="s">
        <v>933</v>
      </c>
      <c r="BI73" s="117" t="s">
        <v>1335</v>
      </c>
      <c r="BJ73" s="117" t="s">
        <v>932</v>
      </c>
      <c r="BK73" s="117" t="s">
        <v>932</v>
      </c>
      <c r="BL73" s="117">
        <v>2</v>
      </c>
      <c r="BM73" s="117" t="s">
        <v>932</v>
      </c>
      <c r="BO73" s="117" t="s">
        <v>932</v>
      </c>
      <c r="BP73" s="117">
        <v>1</v>
      </c>
      <c r="BQ73" s="117" t="s">
        <v>932</v>
      </c>
      <c r="BS73" s="117">
        <v>100</v>
      </c>
      <c r="BT73" s="117" t="s">
        <v>1337</v>
      </c>
    </row>
    <row r="74" spans="1:87" s="117" customFormat="1" ht="25.5">
      <c r="A74" s="114">
        <v>41741.307164351849</v>
      </c>
      <c r="B74" s="115">
        <v>41741.307164351849</v>
      </c>
      <c r="C74" s="114"/>
      <c r="D74" s="115"/>
      <c r="E74" s="116" t="s">
        <v>1338</v>
      </c>
      <c r="F74" s="117" t="s">
        <v>1339</v>
      </c>
      <c r="G74" s="117" t="s">
        <v>1340</v>
      </c>
      <c r="H74" s="117">
        <v>5513339</v>
      </c>
      <c r="I74" s="117">
        <v>533</v>
      </c>
      <c r="J74" s="118" t="s">
        <v>998</v>
      </c>
      <c r="K74" s="117" t="s">
        <v>1341</v>
      </c>
      <c r="L74" s="117" t="s">
        <v>931</v>
      </c>
      <c r="T74" s="119"/>
      <c r="AK74" s="117" t="s">
        <v>1342</v>
      </c>
      <c r="AL74" s="117" t="s">
        <v>943</v>
      </c>
      <c r="AM74" s="117" t="s">
        <v>992</v>
      </c>
      <c r="AN74" s="117" t="s">
        <v>932</v>
      </c>
      <c r="AP74" s="117" t="s">
        <v>981</v>
      </c>
      <c r="AQ74" s="117" t="s">
        <v>1080</v>
      </c>
      <c r="AR74" s="117" t="s">
        <v>942</v>
      </c>
      <c r="AS74" s="117" t="s">
        <v>943</v>
      </c>
      <c r="AT74" s="117" t="s">
        <v>933</v>
      </c>
      <c r="AU74" s="117" t="s">
        <v>933</v>
      </c>
      <c r="AV74" s="117" t="s">
        <v>932</v>
      </c>
      <c r="AW74" s="117">
        <v>0</v>
      </c>
      <c r="AX74" s="117" t="s">
        <v>932</v>
      </c>
      <c r="AY74" s="117">
        <v>0.1</v>
      </c>
      <c r="AZ74" s="117">
        <v>0.2</v>
      </c>
      <c r="BA74" s="117" t="s">
        <v>932</v>
      </c>
      <c r="BB74" s="117" t="s">
        <v>932</v>
      </c>
      <c r="BC74" s="117" t="s">
        <v>932</v>
      </c>
      <c r="BE74" s="117" t="s">
        <v>932</v>
      </c>
      <c r="BF74" s="117">
        <v>1</v>
      </c>
      <c r="BG74" s="117" t="s">
        <v>932</v>
      </c>
      <c r="BH74" s="117">
        <v>15</v>
      </c>
      <c r="BI74" s="117" t="s">
        <v>1325</v>
      </c>
      <c r="BJ74" s="117" t="s">
        <v>932</v>
      </c>
      <c r="BK74" s="117" t="s">
        <v>932</v>
      </c>
      <c r="BL74" s="117">
        <v>1</v>
      </c>
      <c r="BM74" s="117" t="s">
        <v>932</v>
      </c>
      <c r="BO74" s="117" t="s">
        <v>932</v>
      </c>
      <c r="BP74" s="117">
        <v>0</v>
      </c>
      <c r="BS74" s="117">
        <v>150</v>
      </c>
      <c r="BT74" s="117" t="s">
        <v>946</v>
      </c>
      <c r="BU74" s="117" t="s">
        <v>932</v>
      </c>
      <c r="BV74" s="117">
        <v>533</v>
      </c>
      <c r="BW74" s="117" t="s">
        <v>823</v>
      </c>
      <c r="BX74" s="117">
        <v>6.05</v>
      </c>
      <c r="BY74" s="117" t="s">
        <v>190</v>
      </c>
      <c r="CB74" s="117" t="s">
        <v>932</v>
      </c>
      <c r="CC74" s="117">
        <v>821</v>
      </c>
      <c r="CD74" s="117" t="s">
        <v>932</v>
      </c>
      <c r="CE74" s="117" t="s">
        <v>932</v>
      </c>
      <c r="CF74" s="117">
        <v>30</v>
      </c>
      <c r="CG74" s="117">
        <v>1.5</v>
      </c>
      <c r="CH74" s="117" t="s">
        <v>932</v>
      </c>
      <c r="CI74" s="117" t="s">
        <v>932</v>
      </c>
    </row>
    <row r="75" spans="1:87" s="117" customFormat="1" ht="25.5">
      <c r="A75" s="114">
        <v>41741.357986111114</v>
      </c>
      <c r="B75" s="115">
        <v>41741.357986111114</v>
      </c>
      <c r="C75" s="114"/>
      <c r="D75" s="115"/>
      <c r="E75" s="116" t="s">
        <v>1343</v>
      </c>
      <c r="F75" s="117" t="s">
        <v>1339</v>
      </c>
      <c r="G75" s="117" t="s">
        <v>1344</v>
      </c>
      <c r="H75" s="117">
        <v>4532000</v>
      </c>
      <c r="I75" s="117">
        <v>538</v>
      </c>
      <c r="J75" s="118" t="s">
        <v>1144</v>
      </c>
      <c r="K75" s="117" t="s">
        <v>1175</v>
      </c>
      <c r="L75" s="117" t="s">
        <v>966</v>
      </c>
      <c r="T75" s="119"/>
      <c r="AK75" s="117" t="s">
        <v>936</v>
      </c>
      <c r="AL75" s="117" t="s">
        <v>943</v>
      </c>
      <c r="AM75" s="117" t="s">
        <v>992</v>
      </c>
      <c r="AN75" s="117" t="s">
        <v>932</v>
      </c>
      <c r="AP75" s="117" t="s">
        <v>970</v>
      </c>
      <c r="AQ75" s="117" t="s">
        <v>1187</v>
      </c>
      <c r="AR75" s="117" t="s">
        <v>942</v>
      </c>
      <c r="AS75" s="117" t="s">
        <v>943</v>
      </c>
      <c r="AT75" s="117" t="s">
        <v>933</v>
      </c>
      <c r="AU75" s="117" t="s">
        <v>932</v>
      </c>
      <c r="AV75" s="117" t="s">
        <v>932</v>
      </c>
      <c r="AW75" s="117">
        <v>0.2</v>
      </c>
      <c r="AX75" s="117" t="s">
        <v>933</v>
      </c>
      <c r="AY75" s="117">
        <v>4.4000000000000004</v>
      </c>
      <c r="AZ75" s="117">
        <v>0.3</v>
      </c>
      <c r="BA75" s="117" t="s">
        <v>932</v>
      </c>
      <c r="BB75" s="117" t="s">
        <v>932</v>
      </c>
      <c r="BC75" s="117" t="s">
        <v>932</v>
      </c>
      <c r="BD75" s="117" t="s">
        <v>932</v>
      </c>
      <c r="BE75" s="117" t="s">
        <v>932</v>
      </c>
      <c r="BF75" s="117">
        <v>0</v>
      </c>
      <c r="BH75" s="117">
        <v>15</v>
      </c>
      <c r="BI75" s="117" t="s">
        <v>1345</v>
      </c>
      <c r="BJ75" s="117" t="s">
        <v>932</v>
      </c>
      <c r="BK75" s="117" t="s">
        <v>932</v>
      </c>
      <c r="BL75" s="117">
        <v>1</v>
      </c>
      <c r="BM75" s="117" t="s">
        <v>932</v>
      </c>
      <c r="BO75" s="117" t="s">
        <v>932</v>
      </c>
      <c r="BP75" s="117">
        <v>0</v>
      </c>
      <c r="BS75" s="117">
        <v>200</v>
      </c>
      <c r="BT75" s="117" t="s">
        <v>946</v>
      </c>
      <c r="BU75" s="117" t="s">
        <v>932</v>
      </c>
      <c r="BV75" s="117">
        <v>538</v>
      </c>
      <c r="BW75" s="117" t="s">
        <v>824</v>
      </c>
      <c r="BX75" s="117">
        <v>6.05</v>
      </c>
      <c r="BY75" s="117" t="s">
        <v>190</v>
      </c>
      <c r="CB75" s="117" t="s">
        <v>932</v>
      </c>
      <c r="CC75" s="117">
        <v>821</v>
      </c>
      <c r="CD75" s="117" t="s">
        <v>932</v>
      </c>
      <c r="CE75" s="117" t="s">
        <v>932</v>
      </c>
      <c r="CF75" s="117">
        <v>30</v>
      </c>
      <c r="CG75" s="117">
        <v>0</v>
      </c>
      <c r="CH75" s="117" t="s">
        <v>932</v>
      </c>
      <c r="CI75" s="117" t="s">
        <v>932</v>
      </c>
    </row>
    <row r="76" spans="1:87" s="117" customFormat="1" ht="25.5">
      <c r="A76" s="114">
        <v>41741.361342592594</v>
      </c>
      <c r="B76" s="115">
        <v>41741.361342592594</v>
      </c>
      <c r="C76" s="114"/>
      <c r="D76" s="115"/>
      <c r="E76" s="116" t="s">
        <v>1346</v>
      </c>
      <c r="F76" s="117" t="s">
        <v>1339</v>
      </c>
      <c r="G76" s="117" t="s">
        <v>1344</v>
      </c>
      <c r="H76" s="117">
        <v>5513339</v>
      </c>
      <c r="I76" s="117">
        <v>534</v>
      </c>
      <c r="J76" s="118" t="s">
        <v>1347</v>
      </c>
      <c r="K76" s="117" t="s">
        <v>1348</v>
      </c>
      <c r="L76" s="117" t="s">
        <v>966</v>
      </c>
      <c r="T76" s="119"/>
      <c r="AK76" s="117" t="s">
        <v>1248</v>
      </c>
      <c r="AL76" s="117" t="s">
        <v>943</v>
      </c>
      <c r="AM76" s="117" t="s">
        <v>992</v>
      </c>
      <c r="AN76" s="117" t="s">
        <v>932</v>
      </c>
      <c r="AP76" s="117" t="s">
        <v>955</v>
      </c>
      <c r="AQ76" s="117" t="s">
        <v>1187</v>
      </c>
      <c r="AR76" s="117" t="s">
        <v>942</v>
      </c>
      <c r="AS76" s="117" t="s">
        <v>943</v>
      </c>
      <c r="AT76" s="117" t="s">
        <v>933</v>
      </c>
      <c r="AU76" s="117" t="s">
        <v>932</v>
      </c>
      <c r="AV76" s="117" t="s">
        <v>932</v>
      </c>
      <c r="AW76" s="117">
        <v>0</v>
      </c>
      <c r="AX76" s="117" t="s">
        <v>932</v>
      </c>
      <c r="AY76" s="117">
        <v>0</v>
      </c>
      <c r="AZ76" s="117">
        <v>0</v>
      </c>
      <c r="BA76" s="117" t="s">
        <v>932</v>
      </c>
      <c r="BB76" s="117" t="s">
        <v>933</v>
      </c>
      <c r="BC76" s="117" t="s">
        <v>932</v>
      </c>
      <c r="BD76" s="117" t="s">
        <v>932</v>
      </c>
      <c r="BE76" s="117" t="s">
        <v>932</v>
      </c>
      <c r="BF76" s="117">
        <v>1</v>
      </c>
      <c r="BG76" s="117" t="s">
        <v>932</v>
      </c>
      <c r="BH76" s="117">
        <v>15</v>
      </c>
      <c r="BI76" s="117" t="s">
        <v>1349</v>
      </c>
      <c r="BJ76" s="117" t="s">
        <v>932</v>
      </c>
      <c r="BK76" s="117" t="s">
        <v>932</v>
      </c>
      <c r="BL76" s="117">
        <v>1</v>
      </c>
      <c r="BM76" s="117" t="s">
        <v>932</v>
      </c>
      <c r="BN76" s="117" t="s">
        <v>932</v>
      </c>
      <c r="BO76" s="117" t="s">
        <v>932</v>
      </c>
      <c r="BP76" s="117">
        <v>0</v>
      </c>
      <c r="BQ76" s="117" t="s">
        <v>932</v>
      </c>
      <c r="BS76" s="117">
        <v>250</v>
      </c>
      <c r="BT76" s="117" t="s">
        <v>946</v>
      </c>
      <c r="BU76" s="117" t="s">
        <v>932</v>
      </c>
      <c r="BV76" s="117">
        <v>534</v>
      </c>
      <c r="BW76" s="117" t="s">
        <v>825</v>
      </c>
      <c r="BX76" s="117">
        <v>6.05</v>
      </c>
      <c r="BY76" s="117" t="s">
        <v>190</v>
      </c>
      <c r="CB76" s="117" t="s">
        <v>932</v>
      </c>
      <c r="CC76" s="117">
        <v>821</v>
      </c>
      <c r="CD76" s="117" t="s">
        <v>932</v>
      </c>
      <c r="CE76" s="117" t="s">
        <v>932</v>
      </c>
      <c r="CF76" s="117">
        <v>30</v>
      </c>
      <c r="CG76" s="117">
        <v>1</v>
      </c>
      <c r="CH76" s="117" t="s">
        <v>932</v>
      </c>
      <c r="CI76" s="117" t="s">
        <v>932</v>
      </c>
    </row>
    <row r="77" spans="1:87" s="117" customFormat="1" ht="25.5">
      <c r="A77" s="114">
        <v>41741.367881944447</v>
      </c>
      <c r="B77" s="115">
        <v>41741.367881944447</v>
      </c>
      <c r="C77" s="114"/>
      <c r="D77" s="115"/>
      <c r="E77" s="116" t="s">
        <v>1350</v>
      </c>
      <c r="F77" s="117" t="s">
        <v>1339</v>
      </c>
      <c r="G77" s="117" t="s">
        <v>1344</v>
      </c>
      <c r="H77" s="117">
        <v>5513339</v>
      </c>
      <c r="I77" s="117">
        <v>537</v>
      </c>
      <c r="J77" s="118" t="s">
        <v>1023</v>
      </c>
      <c r="K77" s="117" t="s">
        <v>977</v>
      </c>
      <c r="L77" s="117" t="s">
        <v>966</v>
      </c>
      <c r="T77" s="119"/>
      <c r="AK77" s="117" t="s">
        <v>1248</v>
      </c>
      <c r="AL77" s="117" t="s">
        <v>943</v>
      </c>
      <c r="AM77" s="117" t="s">
        <v>992</v>
      </c>
      <c r="AN77" s="117" t="s">
        <v>932</v>
      </c>
      <c r="AP77" s="117" t="s">
        <v>981</v>
      </c>
      <c r="AQ77" s="117" t="s">
        <v>1080</v>
      </c>
      <c r="AR77" s="117" t="s">
        <v>942</v>
      </c>
      <c r="AS77" s="117" t="s">
        <v>943</v>
      </c>
      <c r="AT77" s="117" t="s">
        <v>933</v>
      </c>
      <c r="AU77" s="117" t="s">
        <v>933</v>
      </c>
      <c r="AV77" s="117" t="s">
        <v>932</v>
      </c>
      <c r="AW77" s="117">
        <v>0.5</v>
      </c>
      <c r="AX77" s="117" t="s">
        <v>932</v>
      </c>
      <c r="AY77" s="117">
        <v>0.2</v>
      </c>
      <c r="AZ77" s="117">
        <v>0.6</v>
      </c>
      <c r="BA77" s="117" t="s">
        <v>932</v>
      </c>
      <c r="BB77" s="117" t="s">
        <v>932</v>
      </c>
      <c r="BC77" s="117" t="s">
        <v>932</v>
      </c>
      <c r="BD77" s="117" t="s">
        <v>932</v>
      </c>
      <c r="BE77" s="117" t="s">
        <v>932</v>
      </c>
      <c r="BF77" s="117">
        <v>0</v>
      </c>
      <c r="BG77" s="117" t="s">
        <v>932</v>
      </c>
      <c r="BH77" s="117">
        <v>1</v>
      </c>
      <c r="BI77" s="117" t="s">
        <v>1083</v>
      </c>
      <c r="BJ77" s="117" t="s">
        <v>932</v>
      </c>
      <c r="BK77" s="117" t="s">
        <v>932</v>
      </c>
      <c r="BL77" s="117">
        <v>1</v>
      </c>
      <c r="BM77" s="117" t="s">
        <v>932</v>
      </c>
      <c r="BN77" s="117" t="s">
        <v>932</v>
      </c>
      <c r="BO77" s="117" t="s">
        <v>932</v>
      </c>
      <c r="BP77" s="117">
        <v>1</v>
      </c>
      <c r="BQ77" s="117" t="s">
        <v>932</v>
      </c>
      <c r="BS77" s="117">
        <v>50</v>
      </c>
      <c r="BT77" s="117" t="s">
        <v>946</v>
      </c>
      <c r="BU77" s="117" t="s">
        <v>932</v>
      </c>
      <c r="BV77" s="117">
        <v>537</v>
      </c>
      <c r="BW77" s="117" t="s">
        <v>818</v>
      </c>
      <c r="BX77" s="117">
        <v>6.05</v>
      </c>
      <c r="BY77" s="117" t="s">
        <v>190</v>
      </c>
      <c r="CB77" s="117" t="s">
        <v>932</v>
      </c>
      <c r="CC77" s="117">
        <v>821</v>
      </c>
      <c r="CD77" s="117" t="s">
        <v>932</v>
      </c>
      <c r="CE77" s="117" t="s">
        <v>932</v>
      </c>
      <c r="CF77" s="117">
        <v>30</v>
      </c>
      <c r="CG77" s="117">
        <v>2</v>
      </c>
      <c r="CH77" s="117" t="s">
        <v>932</v>
      </c>
      <c r="CI77" s="117" t="s">
        <v>932</v>
      </c>
    </row>
    <row r="78" spans="1:87" s="117" customFormat="1" ht="25.5">
      <c r="A78" s="114">
        <v>41741.50984953704</v>
      </c>
      <c r="B78" s="114">
        <v>41741.50984953704</v>
      </c>
      <c r="C78" s="114"/>
      <c r="D78" s="115"/>
      <c r="E78" s="116" t="s">
        <v>1351</v>
      </c>
      <c r="F78" s="117" t="s">
        <v>1352</v>
      </c>
      <c r="G78" s="117" t="s">
        <v>1344</v>
      </c>
      <c r="H78" s="117">
        <v>5513339</v>
      </c>
      <c r="I78" s="117">
        <v>536</v>
      </c>
      <c r="J78" s="118" t="s">
        <v>964</v>
      </c>
      <c r="K78" s="117" t="s">
        <v>1139</v>
      </c>
      <c r="L78" s="117" t="s">
        <v>966</v>
      </c>
      <c r="T78" s="119"/>
      <c r="AK78" s="117" t="s">
        <v>1314</v>
      </c>
      <c r="AL78" s="117" t="s">
        <v>943</v>
      </c>
      <c r="AM78" s="117" t="s">
        <v>992</v>
      </c>
      <c r="AN78" s="117" t="s">
        <v>932</v>
      </c>
      <c r="AP78" s="117" t="s">
        <v>1187</v>
      </c>
      <c r="AQ78" s="117" t="s">
        <v>1187</v>
      </c>
      <c r="AR78" s="117" t="s">
        <v>942</v>
      </c>
      <c r="AS78" s="117" t="s">
        <v>943</v>
      </c>
      <c r="AT78" s="117" t="s">
        <v>933</v>
      </c>
      <c r="AU78" s="117" t="s">
        <v>933</v>
      </c>
      <c r="AV78" s="117" t="s">
        <v>932</v>
      </c>
      <c r="AW78" s="117">
        <v>0.5</v>
      </c>
      <c r="AX78" s="117" t="s">
        <v>932</v>
      </c>
      <c r="AY78" s="117">
        <v>0.3</v>
      </c>
      <c r="AZ78" s="117">
        <v>1.2</v>
      </c>
      <c r="BA78" s="117" t="s">
        <v>932</v>
      </c>
      <c r="BB78" s="117" t="s">
        <v>932</v>
      </c>
      <c r="BC78" s="117" t="s">
        <v>932</v>
      </c>
      <c r="BE78" s="117" t="s">
        <v>932</v>
      </c>
      <c r="BH78" s="117">
        <v>1</v>
      </c>
      <c r="BI78" s="117" t="s">
        <v>1229</v>
      </c>
      <c r="BJ78" s="117" t="s">
        <v>932</v>
      </c>
      <c r="BK78" s="117" t="s">
        <v>932</v>
      </c>
      <c r="BL78" s="117">
        <v>1</v>
      </c>
      <c r="BM78" s="117" t="s">
        <v>932</v>
      </c>
      <c r="BN78" s="117" t="s">
        <v>932</v>
      </c>
      <c r="BO78" s="117" t="s">
        <v>932</v>
      </c>
      <c r="BP78" s="117">
        <v>0</v>
      </c>
      <c r="BS78" s="117">
        <v>50</v>
      </c>
      <c r="BT78" s="117" t="s">
        <v>946</v>
      </c>
      <c r="BU78" s="117" t="s">
        <v>932</v>
      </c>
      <c r="BV78" s="117">
        <v>536</v>
      </c>
      <c r="BW78" s="117" t="s">
        <v>820</v>
      </c>
      <c r="BX78" s="117">
        <v>6.05</v>
      </c>
      <c r="BY78" s="117" t="s">
        <v>190</v>
      </c>
      <c r="CB78" s="117" t="s">
        <v>932</v>
      </c>
      <c r="CC78" s="117">
        <v>82</v>
      </c>
      <c r="CD78" s="117" t="s">
        <v>932</v>
      </c>
      <c r="CE78" s="117" t="s">
        <v>932</v>
      </c>
      <c r="CF78" s="117">
        <v>30</v>
      </c>
      <c r="CG78" s="117">
        <v>0.5</v>
      </c>
      <c r="CH78" s="117" t="s">
        <v>932</v>
      </c>
      <c r="CI78" s="117" t="s">
        <v>932</v>
      </c>
    </row>
    <row r="79" spans="1:87" s="117" customFormat="1" ht="25.5">
      <c r="A79" s="114">
        <v>41741.518541666665</v>
      </c>
      <c r="B79" s="115">
        <v>41741.518541666665</v>
      </c>
      <c r="C79" s="114"/>
      <c r="D79" s="115"/>
      <c r="E79" s="116" t="s">
        <v>1353</v>
      </c>
      <c r="F79" s="117" t="s">
        <v>1339</v>
      </c>
      <c r="G79" s="117" t="s">
        <v>1344</v>
      </c>
      <c r="H79" s="117">
        <v>5513339</v>
      </c>
      <c r="I79" s="117" t="s">
        <v>1187</v>
      </c>
      <c r="J79" s="118"/>
      <c r="T79" s="119"/>
      <c r="BA79" s="117" t="s">
        <v>932</v>
      </c>
      <c r="BC79" s="117" t="s">
        <v>932</v>
      </c>
      <c r="BD79" s="117" t="s">
        <v>932</v>
      </c>
      <c r="BE79" s="117" t="s">
        <v>932</v>
      </c>
      <c r="BH79" s="117">
        <v>15</v>
      </c>
      <c r="BK79" s="117" t="s">
        <v>932</v>
      </c>
      <c r="BL79" s="117">
        <v>1</v>
      </c>
      <c r="BM79" s="117" t="s">
        <v>932</v>
      </c>
      <c r="BN79" s="117" t="s">
        <v>932</v>
      </c>
      <c r="BO79" s="117" t="s">
        <v>932</v>
      </c>
      <c r="BT79" s="117" t="s">
        <v>946</v>
      </c>
      <c r="BU79" s="117" t="s">
        <v>932</v>
      </c>
      <c r="BV79" s="117">
        <v>530</v>
      </c>
      <c r="BW79" s="117" t="s">
        <v>821</v>
      </c>
      <c r="BX79" s="117">
        <v>6.05</v>
      </c>
      <c r="BY79" s="117" t="s">
        <v>190</v>
      </c>
      <c r="CB79" s="117" t="s">
        <v>932</v>
      </c>
      <c r="CC79" s="117">
        <v>821</v>
      </c>
    </row>
    <row r="80" spans="1:87" s="117" customFormat="1" ht="25.5">
      <c r="A80" s="114">
        <v>41741.531111111108</v>
      </c>
      <c r="B80" s="115">
        <v>41741.531111111108</v>
      </c>
      <c r="C80" s="114"/>
      <c r="D80" s="115"/>
      <c r="E80" s="116" t="s">
        <v>1354</v>
      </c>
      <c r="F80" s="117" t="s">
        <v>1151</v>
      </c>
      <c r="G80" s="117" t="s">
        <v>1355</v>
      </c>
      <c r="H80" s="117">
        <v>4284242</v>
      </c>
      <c r="J80" s="118"/>
      <c r="T80" s="119"/>
      <c r="BT80" s="117" t="s">
        <v>946</v>
      </c>
      <c r="BU80" s="117" t="s">
        <v>932</v>
      </c>
      <c r="BW80" s="117" t="s">
        <v>769</v>
      </c>
      <c r="BX80" s="117">
        <v>6.05</v>
      </c>
      <c r="BY80" s="117" t="s">
        <v>190</v>
      </c>
      <c r="CB80" s="117" t="s">
        <v>932</v>
      </c>
      <c r="CC80" s="117">
        <v>821</v>
      </c>
      <c r="CD80" s="117" t="s">
        <v>932</v>
      </c>
      <c r="CE80" s="117" t="s">
        <v>932</v>
      </c>
    </row>
    <row r="81" spans="1:87" s="117" customFormat="1" ht="25.5">
      <c r="A81" s="114">
        <v>41741.533206018517</v>
      </c>
      <c r="B81" s="115">
        <v>41741.533206018517</v>
      </c>
      <c r="C81" s="114"/>
      <c r="D81" s="115"/>
      <c r="E81" s="116" t="s">
        <v>1356</v>
      </c>
      <c r="F81" s="117" t="s">
        <v>1151</v>
      </c>
      <c r="G81" s="117" t="s">
        <v>1355</v>
      </c>
      <c r="H81" s="117">
        <v>4284242</v>
      </c>
      <c r="J81" s="118"/>
      <c r="T81" s="119"/>
      <c r="BT81" s="117" t="s">
        <v>946</v>
      </c>
      <c r="BU81" s="117" t="s">
        <v>932</v>
      </c>
      <c r="BW81" s="117" t="s">
        <v>1357</v>
      </c>
      <c r="BX81" s="117">
        <v>6.05</v>
      </c>
      <c r="BY81" s="117" t="s">
        <v>718</v>
      </c>
      <c r="CB81" s="117" t="s">
        <v>932</v>
      </c>
      <c r="CC81" s="117">
        <v>821</v>
      </c>
      <c r="CD81" s="117" t="s">
        <v>932</v>
      </c>
      <c r="CE81" s="117" t="s">
        <v>932</v>
      </c>
      <c r="CH81" s="117" t="s">
        <v>932</v>
      </c>
      <c r="CI81" s="117" t="s">
        <v>932</v>
      </c>
    </row>
    <row r="82" spans="1:87" s="117" customFormat="1" ht="25.5">
      <c r="A82" s="114">
        <v>41741.54173611111</v>
      </c>
      <c r="B82" s="115">
        <v>41741.54173611111</v>
      </c>
      <c r="C82" s="114"/>
      <c r="D82" s="115"/>
      <c r="E82" s="116" t="s">
        <v>1358</v>
      </c>
      <c r="F82" s="117" t="s">
        <v>1359</v>
      </c>
      <c r="G82" s="117" t="s">
        <v>1360</v>
      </c>
      <c r="H82" s="117">
        <v>5532831</v>
      </c>
      <c r="I82" s="117">
        <v>634</v>
      </c>
      <c r="J82" s="118" t="s">
        <v>964</v>
      </c>
      <c r="K82" s="117" t="s">
        <v>1207</v>
      </c>
      <c r="L82" s="117" t="s">
        <v>966</v>
      </c>
      <c r="T82" s="119"/>
      <c r="AK82" s="117" t="s">
        <v>1063</v>
      </c>
      <c r="AL82" s="117" t="s">
        <v>943</v>
      </c>
      <c r="AM82" s="117" t="s">
        <v>992</v>
      </c>
      <c r="AN82" s="117" t="s">
        <v>932</v>
      </c>
      <c r="AP82" s="117" t="s">
        <v>981</v>
      </c>
      <c r="AQ82" s="117" t="s">
        <v>1080</v>
      </c>
      <c r="AR82" s="117" t="s">
        <v>942</v>
      </c>
      <c r="AS82" s="117" t="s">
        <v>943</v>
      </c>
      <c r="AT82" s="117" t="s">
        <v>933</v>
      </c>
      <c r="AU82" s="117" t="s">
        <v>932</v>
      </c>
      <c r="AV82" s="117" t="s">
        <v>933</v>
      </c>
      <c r="AW82" s="117">
        <v>0</v>
      </c>
      <c r="AX82" s="117" t="s">
        <v>933</v>
      </c>
      <c r="AY82" s="117">
        <v>0</v>
      </c>
      <c r="AZ82" s="117">
        <v>0.6</v>
      </c>
      <c r="BA82" s="117" t="s">
        <v>932</v>
      </c>
      <c r="BB82" s="117" t="s">
        <v>932</v>
      </c>
      <c r="BC82" s="117" t="s">
        <v>932</v>
      </c>
      <c r="BD82" s="117" t="s">
        <v>932</v>
      </c>
      <c r="BE82" s="117" t="s">
        <v>932</v>
      </c>
      <c r="BF82" s="117">
        <v>1</v>
      </c>
      <c r="BG82" s="117" t="s">
        <v>932</v>
      </c>
      <c r="BH82" s="117">
        <v>15</v>
      </c>
      <c r="BI82" s="117" t="s">
        <v>1083</v>
      </c>
      <c r="BJ82" s="117" t="s">
        <v>932</v>
      </c>
      <c r="BK82" s="117" t="s">
        <v>932</v>
      </c>
      <c r="BL82" s="117">
        <v>1</v>
      </c>
      <c r="BM82" s="117" t="s">
        <v>932</v>
      </c>
      <c r="BN82" s="117" t="s">
        <v>932</v>
      </c>
      <c r="BO82" s="117" t="s">
        <v>932</v>
      </c>
      <c r="BP82" s="117">
        <v>0</v>
      </c>
      <c r="BQ82" s="117" t="s">
        <v>932</v>
      </c>
      <c r="BS82" s="117">
        <v>75</v>
      </c>
      <c r="BT82" s="117" t="s">
        <v>946</v>
      </c>
      <c r="BU82" s="117" t="s">
        <v>932</v>
      </c>
      <c r="BV82" s="117">
        <v>634</v>
      </c>
      <c r="BW82" s="117" t="s">
        <v>778</v>
      </c>
      <c r="BX82" s="117">
        <v>6.05</v>
      </c>
      <c r="BY82" s="117" t="s">
        <v>190</v>
      </c>
      <c r="CB82" s="117" t="s">
        <v>932</v>
      </c>
      <c r="CC82" s="117">
        <v>82</v>
      </c>
      <c r="CD82" s="117" t="s">
        <v>932</v>
      </c>
      <c r="CE82" s="117" t="s">
        <v>932</v>
      </c>
      <c r="CF82" s="117">
        <v>30</v>
      </c>
      <c r="CG82" s="117">
        <v>1</v>
      </c>
      <c r="CH82" s="117" t="s">
        <v>932</v>
      </c>
      <c r="CI82" s="117" t="s">
        <v>932</v>
      </c>
    </row>
    <row r="83" spans="1:87" s="117" customFormat="1" ht="25.5">
      <c r="A83" s="114">
        <v>41741.563784722224</v>
      </c>
      <c r="B83" s="115">
        <v>41741.563784722224</v>
      </c>
      <c r="C83" s="114"/>
      <c r="D83" s="115"/>
      <c r="E83" s="116" t="s">
        <v>1361</v>
      </c>
      <c r="F83" s="117" t="s">
        <v>1359</v>
      </c>
      <c r="G83" s="117" t="s">
        <v>1360</v>
      </c>
      <c r="H83" s="117" t="s">
        <v>1362</v>
      </c>
      <c r="J83" s="118"/>
      <c r="T83" s="119"/>
      <c r="AK83" s="117" t="s">
        <v>1363</v>
      </c>
      <c r="AL83" s="117" t="s">
        <v>943</v>
      </c>
      <c r="BT83" s="117" t="s">
        <v>946</v>
      </c>
      <c r="BU83" s="117" t="s">
        <v>932</v>
      </c>
      <c r="BW83" s="117" t="s">
        <v>780</v>
      </c>
      <c r="BX83" s="117">
        <v>6.05</v>
      </c>
      <c r="BY83" s="117" t="s">
        <v>190</v>
      </c>
      <c r="CB83" s="117" t="s">
        <v>933</v>
      </c>
      <c r="CC83" s="117">
        <v>821</v>
      </c>
      <c r="CD83" s="117" t="s">
        <v>932</v>
      </c>
      <c r="CE83" s="117" t="s">
        <v>932</v>
      </c>
    </row>
    <row r="84" spans="1:87" s="117" customFormat="1" ht="25.5">
      <c r="A84" s="114">
        <v>41741.567511574074</v>
      </c>
      <c r="B84" s="115">
        <v>41741.567511574074</v>
      </c>
      <c r="C84" s="114"/>
      <c r="D84" s="115"/>
      <c r="E84" s="116" t="s">
        <v>1364</v>
      </c>
      <c r="F84" s="117" t="s">
        <v>1365</v>
      </c>
      <c r="G84" s="117" t="s">
        <v>1366</v>
      </c>
      <c r="H84" s="117">
        <v>8745678</v>
      </c>
      <c r="I84" s="117">
        <v>595</v>
      </c>
      <c r="J84" s="118" t="s">
        <v>964</v>
      </c>
      <c r="K84" s="117" t="s">
        <v>1139</v>
      </c>
      <c r="L84" s="117" t="s">
        <v>966</v>
      </c>
      <c r="T84" s="119"/>
      <c r="AK84" s="117" t="s">
        <v>1367</v>
      </c>
      <c r="AL84" s="117" t="s">
        <v>943</v>
      </c>
      <c r="AM84" s="117" t="s">
        <v>992</v>
      </c>
      <c r="AN84" s="117" t="s">
        <v>932</v>
      </c>
      <c r="AP84" s="117" t="s">
        <v>981</v>
      </c>
      <c r="AQ84" s="117" t="s">
        <v>1080</v>
      </c>
      <c r="AR84" s="117" t="s">
        <v>942</v>
      </c>
      <c r="AS84" s="117" t="s">
        <v>943</v>
      </c>
      <c r="AT84" s="117" t="s">
        <v>933</v>
      </c>
      <c r="AU84" s="117" t="s">
        <v>932</v>
      </c>
      <c r="AV84" s="117" t="s">
        <v>932</v>
      </c>
      <c r="AW84" s="117">
        <v>0.5</v>
      </c>
      <c r="AX84" s="117" t="s">
        <v>932</v>
      </c>
      <c r="AY84" s="117">
        <v>0.1</v>
      </c>
      <c r="AZ84" s="117">
        <v>0</v>
      </c>
      <c r="BA84" s="117" t="s">
        <v>932</v>
      </c>
      <c r="BB84" s="117" t="s">
        <v>932</v>
      </c>
      <c r="BC84" s="117" t="s">
        <v>932</v>
      </c>
      <c r="BD84" s="117" t="s">
        <v>932</v>
      </c>
      <c r="BE84" s="117" t="s">
        <v>932</v>
      </c>
      <c r="BF84" s="117">
        <v>1</v>
      </c>
      <c r="BG84" s="117" t="s">
        <v>933</v>
      </c>
      <c r="BH84" s="117">
        <v>15</v>
      </c>
      <c r="BI84" s="117" t="s">
        <v>1325</v>
      </c>
      <c r="BJ84" s="117" t="s">
        <v>932</v>
      </c>
      <c r="BK84" s="117" t="s">
        <v>932</v>
      </c>
      <c r="BL84" s="117">
        <v>1</v>
      </c>
      <c r="BM84" s="117" t="s">
        <v>932</v>
      </c>
      <c r="BN84" s="117" t="s">
        <v>932</v>
      </c>
      <c r="BO84" s="117" t="s">
        <v>932</v>
      </c>
      <c r="BP84" s="117">
        <v>1</v>
      </c>
      <c r="BQ84" s="117" t="s">
        <v>932</v>
      </c>
      <c r="BS84" s="117">
        <v>100</v>
      </c>
      <c r="BT84" s="117" t="s">
        <v>946</v>
      </c>
      <c r="BU84" s="117" t="s">
        <v>932</v>
      </c>
      <c r="BV84" s="117">
        <v>595</v>
      </c>
      <c r="BW84" s="117" t="s">
        <v>805</v>
      </c>
      <c r="BX84" s="117">
        <v>6.05</v>
      </c>
      <c r="BY84" s="117" t="s">
        <v>190</v>
      </c>
      <c r="CB84" s="117" t="s">
        <v>932</v>
      </c>
      <c r="CC84" s="117">
        <v>821</v>
      </c>
      <c r="CD84" s="117" t="s">
        <v>932</v>
      </c>
      <c r="CF84" s="117">
        <v>30</v>
      </c>
      <c r="CH84" s="117" t="s">
        <v>932</v>
      </c>
      <c r="CI84" s="117" t="s">
        <v>932</v>
      </c>
    </row>
    <row r="85" spans="1:87" s="117" customFormat="1" ht="25.5">
      <c r="A85" s="114">
        <v>41741.57403935185</v>
      </c>
      <c r="B85" s="115">
        <v>41741.57403935185</v>
      </c>
      <c r="C85" s="114"/>
      <c r="D85" s="115"/>
      <c r="E85" s="116" t="s">
        <v>1368</v>
      </c>
      <c r="F85" s="117" t="s">
        <v>1365</v>
      </c>
      <c r="G85" s="117" t="s">
        <v>1366</v>
      </c>
      <c r="H85" s="117">
        <v>8745678</v>
      </c>
      <c r="I85" s="117">
        <v>599</v>
      </c>
      <c r="J85" s="118" t="s">
        <v>1005</v>
      </c>
      <c r="K85" s="117" t="s">
        <v>1369</v>
      </c>
      <c r="L85" s="117" t="s">
        <v>931</v>
      </c>
      <c r="T85" s="119"/>
      <c r="AK85" s="117" t="s">
        <v>1243</v>
      </c>
      <c r="AL85" s="117" t="s">
        <v>943</v>
      </c>
      <c r="AM85" s="117" t="s">
        <v>992</v>
      </c>
      <c r="AN85" s="117" t="s">
        <v>932</v>
      </c>
      <c r="AP85" s="117" t="s">
        <v>981</v>
      </c>
      <c r="AQ85" s="117" t="s">
        <v>1080</v>
      </c>
      <c r="AR85" s="117" t="s">
        <v>942</v>
      </c>
      <c r="AS85" s="117" t="s">
        <v>943</v>
      </c>
      <c r="AT85" s="117" t="s">
        <v>933</v>
      </c>
      <c r="AU85" s="117" t="s">
        <v>932</v>
      </c>
      <c r="AV85" s="117" t="s">
        <v>932</v>
      </c>
      <c r="AW85" s="117">
        <v>0</v>
      </c>
      <c r="AX85" s="117" t="s">
        <v>933</v>
      </c>
      <c r="AY85" s="117">
        <v>5</v>
      </c>
      <c r="AZ85" s="117">
        <v>0</v>
      </c>
      <c r="BA85" s="117" t="s">
        <v>932</v>
      </c>
      <c r="BB85" s="117" t="s">
        <v>932</v>
      </c>
      <c r="BC85" s="117" t="s">
        <v>932</v>
      </c>
      <c r="BD85" s="117" t="s">
        <v>932</v>
      </c>
      <c r="BE85" s="117" t="s">
        <v>932</v>
      </c>
      <c r="BF85" s="117">
        <v>0</v>
      </c>
      <c r="BH85" s="117">
        <v>15</v>
      </c>
      <c r="BI85" s="117" t="s">
        <v>1083</v>
      </c>
      <c r="BJ85" s="117" t="s">
        <v>932</v>
      </c>
      <c r="BK85" s="117" t="s">
        <v>932</v>
      </c>
      <c r="BL85" s="117">
        <v>1</v>
      </c>
      <c r="BM85" s="117" t="s">
        <v>932</v>
      </c>
      <c r="BN85" s="117" t="s">
        <v>932</v>
      </c>
      <c r="BO85" s="117" t="s">
        <v>932</v>
      </c>
      <c r="BP85" s="117">
        <v>2</v>
      </c>
      <c r="BQ85" s="117" t="s">
        <v>932</v>
      </c>
      <c r="BS85" s="117">
        <v>50</v>
      </c>
      <c r="BT85" s="117" t="s">
        <v>946</v>
      </c>
      <c r="BU85" s="117" t="s">
        <v>932</v>
      </c>
      <c r="BV85" s="117">
        <v>599</v>
      </c>
      <c r="BW85" s="117" t="s">
        <v>797</v>
      </c>
      <c r="BX85" s="117">
        <v>6.05</v>
      </c>
      <c r="BY85" s="117" t="s">
        <v>190</v>
      </c>
      <c r="CB85" s="117" t="s">
        <v>932</v>
      </c>
      <c r="CC85" s="117">
        <v>821</v>
      </c>
      <c r="CD85" s="117" t="s">
        <v>932</v>
      </c>
      <c r="CE85" s="117" t="s">
        <v>932</v>
      </c>
      <c r="CF85" s="117">
        <v>30</v>
      </c>
      <c r="CG85" s="117">
        <v>7</v>
      </c>
      <c r="CH85" s="117" t="s">
        <v>932</v>
      </c>
      <c r="CI85" s="117" t="s">
        <v>932</v>
      </c>
    </row>
    <row r="86" spans="1:87" s="117" customFormat="1" ht="25.5">
      <c r="A86" s="114">
        <v>41741.580555555556</v>
      </c>
      <c r="B86" s="115">
        <v>41741.580555555556</v>
      </c>
      <c r="C86" s="114"/>
      <c r="D86" s="115"/>
      <c r="E86" s="116" t="s">
        <v>1370</v>
      </c>
      <c r="J86" s="118"/>
      <c r="T86" s="119"/>
    </row>
    <row r="87" spans="1:87" s="117" customFormat="1" ht="25.5">
      <c r="A87" s="114">
        <v>41743.373240740744</v>
      </c>
      <c r="B87" s="115">
        <v>41743.373240740744</v>
      </c>
      <c r="C87" s="114"/>
      <c r="D87" s="115"/>
      <c r="E87" s="116" t="s">
        <v>1445</v>
      </c>
      <c r="F87" s="117" t="s">
        <v>1365</v>
      </c>
      <c r="G87" s="117" t="s">
        <v>1366</v>
      </c>
      <c r="H87" s="117">
        <v>8745678</v>
      </c>
      <c r="I87" s="117">
        <v>595</v>
      </c>
      <c r="J87" s="118" t="s">
        <v>1446</v>
      </c>
      <c r="K87" s="117" t="s">
        <v>1447</v>
      </c>
      <c r="L87" s="117" t="s">
        <v>966</v>
      </c>
      <c r="T87" s="119"/>
      <c r="AK87" s="117" t="s">
        <v>936</v>
      </c>
      <c r="AL87" s="117" t="s">
        <v>943</v>
      </c>
      <c r="AM87" s="117" t="s">
        <v>992</v>
      </c>
      <c r="AN87" s="117" t="s">
        <v>932</v>
      </c>
      <c r="AP87" s="117" t="s">
        <v>981</v>
      </c>
      <c r="AQ87" s="117" t="s">
        <v>1080</v>
      </c>
      <c r="AR87" s="117" t="s">
        <v>942</v>
      </c>
      <c r="AS87" s="117" t="s">
        <v>943</v>
      </c>
      <c r="AT87" s="117" t="s">
        <v>933</v>
      </c>
      <c r="AU87" s="117" t="s">
        <v>932</v>
      </c>
      <c r="AV87" s="117" t="s">
        <v>933</v>
      </c>
      <c r="AW87" s="117">
        <v>0</v>
      </c>
      <c r="AX87" s="117" t="s">
        <v>933</v>
      </c>
      <c r="AY87" s="117">
        <v>0</v>
      </c>
      <c r="AZ87" s="117">
        <v>16</v>
      </c>
      <c r="BA87" s="117" t="s">
        <v>932</v>
      </c>
      <c r="BB87" s="117" t="s">
        <v>932</v>
      </c>
      <c r="BC87" s="117" t="s">
        <v>932</v>
      </c>
      <c r="BD87" s="117" t="s">
        <v>932</v>
      </c>
      <c r="BE87" s="117" t="s">
        <v>932</v>
      </c>
      <c r="BF87" s="117">
        <v>1</v>
      </c>
      <c r="BG87" s="117" t="s">
        <v>932</v>
      </c>
      <c r="BH87" s="117">
        <v>15</v>
      </c>
      <c r="BI87" s="117" t="s">
        <v>1083</v>
      </c>
      <c r="BJ87" s="117" t="s">
        <v>932</v>
      </c>
      <c r="BK87" s="117" t="s">
        <v>932</v>
      </c>
      <c r="BL87" s="117">
        <v>1</v>
      </c>
      <c r="BM87" s="117" t="s">
        <v>932</v>
      </c>
      <c r="BN87" s="117" t="s">
        <v>932</v>
      </c>
      <c r="BO87" s="117" t="s">
        <v>932</v>
      </c>
      <c r="BP87" s="117">
        <v>0</v>
      </c>
      <c r="BQ87" s="117" t="s">
        <v>932</v>
      </c>
      <c r="BS87" s="117">
        <v>25</v>
      </c>
      <c r="BT87" s="117" t="s">
        <v>946</v>
      </c>
      <c r="BU87" s="117" t="s">
        <v>932</v>
      </c>
      <c r="BV87" s="117">
        <v>593</v>
      </c>
      <c r="BW87" s="117" t="s">
        <v>1332</v>
      </c>
      <c r="BX87" s="117">
        <v>6.05</v>
      </c>
      <c r="BY87" s="117" t="s">
        <v>190</v>
      </c>
      <c r="CB87" s="117" t="s">
        <v>932</v>
      </c>
      <c r="CC87" s="117">
        <v>821</v>
      </c>
      <c r="CD87" s="117" t="s">
        <v>932</v>
      </c>
      <c r="CE87" s="117" t="s">
        <v>932</v>
      </c>
      <c r="CF87" s="117">
        <v>29</v>
      </c>
      <c r="CG87" s="117">
        <v>0.5</v>
      </c>
      <c r="CH87" s="117" t="s">
        <v>932</v>
      </c>
    </row>
    <row r="88" spans="1:87" s="117" customFormat="1" ht="25.5">
      <c r="A88" s="114">
        <v>41743.401979166665</v>
      </c>
      <c r="B88" s="115">
        <v>41743.401979166665</v>
      </c>
      <c r="C88" s="114"/>
      <c r="D88" s="115"/>
      <c r="E88" s="116" t="s">
        <v>1448</v>
      </c>
      <c r="F88" s="117" t="s">
        <v>1449</v>
      </c>
      <c r="G88" s="117" t="s">
        <v>1366</v>
      </c>
      <c r="H88" s="117">
        <v>5500154</v>
      </c>
      <c r="I88" s="117">
        <v>434</v>
      </c>
      <c r="J88" s="118" t="s">
        <v>998</v>
      </c>
      <c r="K88" s="117" t="s">
        <v>1450</v>
      </c>
      <c r="L88" s="117" t="s">
        <v>931</v>
      </c>
      <c r="M88" s="117" t="s">
        <v>932</v>
      </c>
      <c r="N88" s="117" t="s">
        <v>932</v>
      </c>
      <c r="O88" s="117" t="s">
        <v>932</v>
      </c>
      <c r="P88" s="117" t="s">
        <v>932</v>
      </c>
      <c r="Q88" s="117" t="s">
        <v>934</v>
      </c>
      <c r="R88" s="117" t="s">
        <v>932</v>
      </c>
      <c r="S88" s="117" t="s">
        <v>932</v>
      </c>
      <c r="T88" s="119" t="s">
        <v>932</v>
      </c>
      <c r="U88" s="117" t="s">
        <v>932</v>
      </c>
      <c r="V88" s="117" t="s">
        <v>932</v>
      </c>
      <c r="W88" s="117" t="s">
        <v>932</v>
      </c>
      <c r="X88" s="117" t="s">
        <v>934</v>
      </c>
      <c r="Y88" s="117" t="s">
        <v>934</v>
      </c>
      <c r="Z88" s="117" t="s">
        <v>934</v>
      </c>
      <c r="AA88" s="117" t="s">
        <v>934</v>
      </c>
      <c r="AB88" s="117" t="s">
        <v>934</v>
      </c>
      <c r="AC88" s="117" t="s">
        <v>934</v>
      </c>
      <c r="AD88" s="117" t="s">
        <v>934</v>
      </c>
      <c r="AE88" s="117" t="s">
        <v>934</v>
      </c>
      <c r="AF88" s="117" t="s">
        <v>934</v>
      </c>
      <c r="AG88" s="117" t="s">
        <v>934</v>
      </c>
      <c r="AH88" s="117" t="s">
        <v>934</v>
      </c>
      <c r="AI88" s="117" t="s">
        <v>934</v>
      </c>
      <c r="AJ88" s="117" t="s">
        <v>1451</v>
      </c>
      <c r="AK88" s="117" t="s">
        <v>936</v>
      </c>
      <c r="AL88" s="117" t="s">
        <v>943</v>
      </c>
      <c r="AM88" s="117" t="s">
        <v>992</v>
      </c>
      <c r="AN88" s="117" t="s">
        <v>932</v>
      </c>
    </row>
    <row r="89" spans="1:87" s="117" customFormat="1" ht="25.5">
      <c r="A89" s="114">
        <v>41743.405138888891</v>
      </c>
      <c r="B89" s="115">
        <v>41743.405138888891</v>
      </c>
      <c r="C89" s="114"/>
      <c r="D89" s="115"/>
      <c r="E89" s="116" t="s">
        <v>1452</v>
      </c>
      <c r="F89" s="117" t="s">
        <v>1449</v>
      </c>
      <c r="G89" s="117" t="s">
        <v>1366</v>
      </c>
      <c r="H89" s="117">
        <v>5500154</v>
      </c>
      <c r="I89" s="117" t="s">
        <v>1453</v>
      </c>
      <c r="J89" s="118" t="s">
        <v>998</v>
      </c>
      <c r="K89" s="117" t="s">
        <v>1454</v>
      </c>
      <c r="L89" s="117" t="s">
        <v>966</v>
      </c>
      <c r="M89" s="117" t="s">
        <v>932</v>
      </c>
      <c r="N89" s="117" t="s">
        <v>932</v>
      </c>
      <c r="O89" s="117" t="s">
        <v>932</v>
      </c>
      <c r="P89" s="117" t="s">
        <v>932</v>
      </c>
      <c r="Q89" s="117" t="s">
        <v>934</v>
      </c>
      <c r="R89" s="117" t="s">
        <v>932</v>
      </c>
      <c r="S89" s="117" t="s">
        <v>932</v>
      </c>
      <c r="T89" s="119" t="s">
        <v>932</v>
      </c>
      <c r="U89" s="117" t="s">
        <v>932</v>
      </c>
      <c r="V89" s="117" t="s">
        <v>932</v>
      </c>
      <c r="W89" s="117" t="s">
        <v>932</v>
      </c>
      <c r="X89" s="117" t="s">
        <v>934</v>
      </c>
      <c r="Y89" s="117" t="s">
        <v>934</v>
      </c>
      <c r="Z89" s="117" t="s">
        <v>934</v>
      </c>
      <c r="AA89" s="117" t="s">
        <v>934</v>
      </c>
      <c r="AB89" s="117" t="s">
        <v>934</v>
      </c>
      <c r="AC89" s="117" t="s">
        <v>934</v>
      </c>
      <c r="AD89" s="117" t="s">
        <v>934</v>
      </c>
      <c r="AE89" s="117" t="s">
        <v>932</v>
      </c>
      <c r="AF89" s="117" t="s">
        <v>934</v>
      </c>
      <c r="AG89" s="117" t="s">
        <v>934</v>
      </c>
      <c r="AH89" s="117" t="s">
        <v>934</v>
      </c>
      <c r="AI89" s="117" t="s">
        <v>934</v>
      </c>
      <c r="AJ89" s="117" t="s">
        <v>943</v>
      </c>
      <c r="AK89" s="117" t="s">
        <v>936</v>
      </c>
      <c r="AL89" s="117" t="s">
        <v>943</v>
      </c>
      <c r="AM89" s="117" t="s">
        <v>992</v>
      </c>
      <c r="AN89" s="117" t="s">
        <v>932</v>
      </c>
    </row>
    <row r="90" spans="1:87" s="117" customFormat="1" ht="25.5">
      <c r="A90" s="114">
        <v>41743.407743055555</v>
      </c>
      <c r="B90" s="115">
        <v>41743.407743055555</v>
      </c>
      <c r="C90" s="114"/>
      <c r="D90" s="115"/>
      <c r="E90" s="116" t="s">
        <v>1455</v>
      </c>
      <c r="F90" s="117" t="s">
        <v>1449</v>
      </c>
      <c r="G90" s="117" t="s">
        <v>1366</v>
      </c>
      <c r="H90" s="117">
        <v>5500154</v>
      </c>
      <c r="I90" s="117" t="s">
        <v>1456</v>
      </c>
      <c r="J90" s="118" t="s">
        <v>998</v>
      </c>
      <c r="K90" s="117">
        <v>4500</v>
      </c>
      <c r="L90" s="117" t="s">
        <v>966</v>
      </c>
      <c r="M90" s="117" t="s">
        <v>932</v>
      </c>
      <c r="N90" s="117" t="s">
        <v>932</v>
      </c>
      <c r="O90" s="117" t="s">
        <v>932</v>
      </c>
      <c r="P90" s="117" t="s">
        <v>932</v>
      </c>
      <c r="Q90" s="117" t="s">
        <v>934</v>
      </c>
      <c r="R90" s="117" t="s">
        <v>932</v>
      </c>
      <c r="S90" s="117" t="s">
        <v>932</v>
      </c>
      <c r="T90" s="119" t="s">
        <v>932</v>
      </c>
      <c r="U90" s="117" t="s">
        <v>932</v>
      </c>
      <c r="V90" s="117" t="s">
        <v>932</v>
      </c>
      <c r="W90" s="117" t="s">
        <v>932</v>
      </c>
      <c r="X90" s="117" t="s">
        <v>932</v>
      </c>
      <c r="Y90" s="117" t="s">
        <v>932</v>
      </c>
      <c r="Z90" s="117" t="s">
        <v>934</v>
      </c>
      <c r="AA90" s="117" t="s">
        <v>934</v>
      </c>
      <c r="AB90" s="117" t="s">
        <v>934</v>
      </c>
      <c r="AC90" s="117" t="s">
        <v>934</v>
      </c>
      <c r="AD90" s="117" t="s">
        <v>934</v>
      </c>
      <c r="AE90" s="117" t="s">
        <v>932</v>
      </c>
      <c r="AF90" s="117" t="s">
        <v>934</v>
      </c>
      <c r="AG90" s="117" t="s">
        <v>934</v>
      </c>
      <c r="AH90" s="117" t="s">
        <v>934</v>
      </c>
      <c r="AI90" s="117" t="s">
        <v>934</v>
      </c>
      <c r="AJ90" s="117" t="s">
        <v>943</v>
      </c>
      <c r="AK90" s="117" t="s">
        <v>936</v>
      </c>
      <c r="AL90" s="117" t="s">
        <v>943</v>
      </c>
      <c r="AM90" s="117" t="s">
        <v>992</v>
      </c>
      <c r="AN90" s="117" t="s">
        <v>932</v>
      </c>
      <c r="AO90" s="117" t="s">
        <v>1457</v>
      </c>
    </row>
    <row r="91" spans="1:87" s="117" customFormat="1" ht="25.5">
      <c r="A91" s="114">
        <v>41743.411400462966</v>
      </c>
      <c r="B91" s="115">
        <v>41743.411400462966</v>
      </c>
      <c r="C91" s="114"/>
      <c r="D91" s="115"/>
      <c r="E91" s="116" t="s">
        <v>1458</v>
      </c>
      <c r="F91" s="117" t="s">
        <v>1365</v>
      </c>
      <c r="G91" s="117" t="s">
        <v>1366</v>
      </c>
      <c r="H91" s="117">
        <v>8745678</v>
      </c>
      <c r="I91" s="117">
        <v>598</v>
      </c>
      <c r="J91" s="118" t="s">
        <v>998</v>
      </c>
      <c r="K91" s="117" t="s">
        <v>1134</v>
      </c>
      <c r="L91" s="117" t="s">
        <v>931</v>
      </c>
      <c r="T91" s="119"/>
      <c r="AK91" s="117" t="s">
        <v>936</v>
      </c>
      <c r="AL91" s="117" t="s">
        <v>943</v>
      </c>
      <c r="AM91" s="117" t="s">
        <v>992</v>
      </c>
      <c r="AN91" s="117" t="s">
        <v>932</v>
      </c>
      <c r="AO91" s="117" t="s">
        <v>1459</v>
      </c>
      <c r="AP91" s="117" t="s">
        <v>981</v>
      </c>
      <c r="AQ91" s="117" t="s">
        <v>1080</v>
      </c>
      <c r="AR91" s="117" t="s">
        <v>942</v>
      </c>
      <c r="AS91" s="117" t="s">
        <v>943</v>
      </c>
      <c r="AT91" s="117" t="s">
        <v>933</v>
      </c>
      <c r="AU91" s="117" t="s">
        <v>932</v>
      </c>
      <c r="AV91" s="117" t="s">
        <v>933</v>
      </c>
      <c r="AW91" s="117">
        <v>0</v>
      </c>
      <c r="AX91" s="117" t="s">
        <v>933</v>
      </c>
      <c r="AY91" s="117">
        <v>0</v>
      </c>
      <c r="AZ91" s="117">
        <v>0.6</v>
      </c>
      <c r="BA91" s="117" t="s">
        <v>932</v>
      </c>
      <c r="BB91" s="117" t="s">
        <v>933</v>
      </c>
      <c r="BC91" s="117" t="s">
        <v>932</v>
      </c>
      <c r="BD91" s="117" t="s">
        <v>932</v>
      </c>
      <c r="BE91" s="117" t="s">
        <v>932</v>
      </c>
      <c r="BF91" s="117">
        <v>1</v>
      </c>
      <c r="BG91" s="117" t="s">
        <v>932</v>
      </c>
      <c r="BI91" s="117" t="s">
        <v>1460</v>
      </c>
      <c r="BJ91" s="117" t="s">
        <v>932</v>
      </c>
      <c r="BK91" s="117" t="s">
        <v>932</v>
      </c>
      <c r="BL91" s="117">
        <v>15</v>
      </c>
      <c r="BM91" s="117" t="s">
        <v>932</v>
      </c>
      <c r="BN91" s="117" t="s">
        <v>932</v>
      </c>
      <c r="BO91" s="117" t="s">
        <v>932</v>
      </c>
      <c r="BP91" s="117">
        <v>1</v>
      </c>
      <c r="BQ91" s="117" t="s">
        <v>932</v>
      </c>
      <c r="BS91" s="117">
        <v>250</v>
      </c>
      <c r="BT91" s="117" t="s">
        <v>946</v>
      </c>
      <c r="BU91" s="117" t="s">
        <v>932</v>
      </c>
      <c r="BV91" s="117">
        <v>598</v>
      </c>
      <c r="BW91" s="117" t="s">
        <v>1332</v>
      </c>
      <c r="BX91" s="117">
        <v>6.05</v>
      </c>
      <c r="BY91" s="117" t="s">
        <v>190</v>
      </c>
      <c r="CB91" s="117" t="s">
        <v>932</v>
      </c>
      <c r="CC91" s="117">
        <v>821</v>
      </c>
      <c r="CD91" s="117" t="s">
        <v>932</v>
      </c>
      <c r="CE91" s="117" t="s">
        <v>932</v>
      </c>
      <c r="CF91" s="117">
        <v>30</v>
      </c>
      <c r="CG91" s="117">
        <v>0.5</v>
      </c>
      <c r="CH91" s="117" t="s">
        <v>932</v>
      </c>
      <c r="CI91" s="117" t="s">
        <v>932</v>
      </c>
    </row>
    <row r="92" spans="1:87" s="117" customFormat="1" ht="25.5">
      <c r="A92" s="114">
        <v>41743.418275462966</v>
      </c>
      <c r="B92" s="115">
        <v>41743.418275462966</v>
      </c>
      <c r="C92" s="114"/>
      <c r="D92" s="115"/>
      <c r="E92" s="116" t="s">
        <v>1461</v>
      </c>
      <c r="F92" s="117" t="s">
        <v>1462</v>
      </c>
      <c r="G92" s="117" t="s">
        <v>1463</v>
      </c>
      <c r="H92" s="117">
        <v>5531793</v>
      </c>
      <c r="J92" s="118"/>
      <c r="T92" s="119"/>
      <c r="BT92" s="117" t="s">
        <v>946</v>
      </c>
      <c r="BU92" s="117" t="s">
        <v>932</v>
      </c>
      <c r="BV92" s="117">
        <v>510</v>
      </c>
      <c r="BW92" s="117" t="s">
        <v>1464</v>
      </c>
      <c r="BX92" s="117">
        <v>6.05</v>
      </c>
      <c r="BY92" s="117" t="s">
        <v>190</v>
      </c>
      <c r="CB92" s="117" t="s">
        <v>932</v>
      </c>
      <c r="CC92" s="117">
        <v>821</v>
      </c>
      <c r="CD92" s="117" t="s">
        <v>932</v>
      </c>
      <c r="CE92" s="117" t="s">
        <v>932</v>
      </c>
      <c r="CH92" s="117" t="s">
        <v>932</v>
      </c>
      <c r="CI92" s="117" t="s">
        <v>932</v>
      </c>
    </row>
    <row r="93" spans="1:87" s="117" customFormat="1" ht="25.5">
      <c r="A93" s="114">
        <v>41743.420520833337</v>
      </c>
      <c r="B93" s="115">
        <v>41743.420520833337</v>
      </c>
      <c r="C93" s="114"/>
      <c r="D93" s="115"/>
      <c r="E93" s="116" t="s">
        <v>1465</v>
      </c>
      <c r="F93" s="117" t="s">
        <v>1462</v>
      </c>
      <c r="G93" s="117" t="s">
        <v>1466</v>
      </c>
      <c r="H93" s="117">
        <v>5531793</v>
      </c>
      <c r="I93" s="117">
        <v>518</v>
      </c>
      <c r="J93" s="118" t="s">
        <v>1467</v>
      </c>
      <c r="K93" s="117" t="s">
        <v>1468</v>
      </c>
      <c r="L93" s="117" t="s">
        <v>966</v>
      </c>
      <c r="T93" s="119"/>
      <c r="AK93" s="117" t="s">
        <v>1243</v>
      </c>
      <c r="AL93" s="117" t="s">
        <v>943</v>
      </c>
      <c r="AM93" s="117" t="s">
        <v>992</v>
      </c>
      <c r="AN93" s="117" t="s">
        <v>932</v>
      </c>
      <c r="AP93" s="117" t="s">
        <v>981</v>
      </c>
      <c r="AQ93" s="117" t="s">
        <v>1080</v>
      </c>
      <c r="AR93" s="117" t="s">
        <v>942</v>
      </c>
      <c r="AS93" s="117" t="s">
        <v>943</v>
      </c>
      <c r="AT93" s="117" t="s">
        <v>933</v>
      </c>
      <c r="AU93" s="117" t="s">
        <v>932</v>
      </c>
      <c r="AV93" s="117" t="s">
        <v>932</v>
      </c>
      <c r="AW93" s="117">
        <v>0</v>
      </c>
      <c r="AX93" s="117" t="s">
        <v>932</v>
      </c>
      <c r="AY93" s="117">
        <v>0.5</v>
      </c>
      <c r="AZ93" s="117">
        <v>0.3</v>
      </c>
      <c r="BA93" s="117" t="s">
        <v>932</v>
      </c>
      <c r="BB93" s="117" t="s">
        <v>932</v>
      </c>
      <c r="BC93" s="117" t="s">
        <v>932</v>
      </c>
      <c r="BD93" s="117" t="s">
        <v>932</v>
      </c>
      <c r="BE93" s="117" t="s">
        <v>932</v>
      </c>
      <c r="BF93" s="117">
        <v>0</v>
      </c>
      <c r="BH93" s="117">
        <v>15</v>
      </c>
      <c r="BI93" s="117" t="s">
        <v>1469</v>
      </c>
      <c r="BJ93" s="117" t="s">
        <v>932</v>
      </c>
      <c r="BK93" s="117" t="s">
        <v>932</v>
      </c>
      <c r="BL93" s="117">
        <v>1</v>
      </c>
      <c r="BM93" s="117" t="s">
        <v>932</v>
      </c>
      <c r="BO93" s="117" t="s">
        <v>932</v>
      </c>
      <c r="BP93" s="117">
        <v>0</v>
      </c>
      <c r="BR93" s="117">
        <v>150</v>
      </c>
      <c r="BS93" s="117">
        <v>400</v>
      </c>
      <c r="BT93" s="117" t="s">
        <v>946</v>
      </c>
      <c r="BU93" s="117" t="s">
        <v>932</v>
      </c>
      <c r="BV93" s="117">
        <v>518</v>
      </c>
      <c r="BW93" s="117" t="s">
        <v>845</v>
      </c>
      <c r="BX93" s="117">
        <v>6.05</v>
      </c>
      <c r="BY93" s="117" t="s">
        <v>190</v>
      </c>
      <c r="CB93" s="117" t="s">
        <v>932</v>
      </c>
      <c r="CC93" s="117">
        <v>821</v>
      </c>
      <c r="CD93" s="117" t="s">
        <v>932</v>
      </c>
      <c r="CF93" s="117">
        <v>30</v>
      </c>
      <c r="CG93" s="117">
        <v>0.5</v>
      </c>
      <c r="CH93" s="117" t="s">
        <v>932</v>
      </c>
      <c r="CI93" s="117" t="s">
        <v>932</v>
      </c>
    </row>
    <row r="94" spans="1:87" s="117" customFormat="1" ht="25.5">
      <c r="A94" s="114">
        <v>41743.425092592595</v>
      </c>
      <c r="B94" s="115">
        <v>41743.425092592595</v>
      </c>
      <c r="C94" s="114"/>
      <c r="D94" s="115"/>
      <c r="E94" s="116" t="s">
        <v>1470</v>
      </c>
      <c r="F94" s="117" t="s">
        <v>1471</v>
      </c>
      <c r="G94" s="117" t="s">
        <v>1466</v>
      </c>
      <c r="H94" s="117">
        <v>5531793</v>
      </c>
      <c r="I94" s="117">
        <v>515</v>
      </c>
      <c r="J94" s="118" t="s">
        <v>1067</v>
      </c>
      <c r="L94" s="117" t="s">
        <v>966</v>
      </c>
      <c r="T94" s="119"/>
      <c r="AK94" s="117" t="s">
        <v>1188</v>
      </c>
      <c r="AL94" s="117" t="s">
        <v>943</v>
      </c>
      <c r="AM94" s="117" t="s">
        <v>992</v>
      </c>
      <c r="AN94" s="117" t="s">
        <v>932</v>
      </c>
      <c r="AP94" s="117" t="s">
        <v>981</v>
      </c>
      <c r="AQ94" s="117" t="s">
        <v>1080</v>
      </c>
      <c r="AR94" s="117" t="s">
        <v>942</v>
      </c>
      <c r="AS94" s="117" t="s">
        <v>943</v>
      </c>
      <c r="AT94" s="117" t="s">
        <v>933</v>
      </c>
      <c r="AU94" s="117" t="s">
        <v>932</v>
      </c>
      <c r="AV94" s="117" t="s">
        <v>932</v>
      </c>
      <c r="AW94" s="117">
        <v>0</v>
      </c>
      <c r="AX94" s="117" t="s">
        <v>932</v>
      </c>
      <c r="AY94" s="117">
        <v>0</v>
      </c>
      <c r="AZ94" s="117">
        <v>0</v>
      </c>
      <c r="BA94" s="117" t="s">
        <v>932</v>
      </c>
      <c r="BB94" s="117" t="s">
        <v>932</v>
      </c>
      <c r="BC94" s="117" t="s">
        <v>932</v>
      </c>
      <c r="BD94" s="117" t="s">
        <v>932</v>
      </c>
      <c r="BE94" s="117" t="s">
        <v>932</v>
      </c>
      <c r="BF94" s="117">
        <v>0</v>
      </c>
      <c r="BH94" s="117">
        <v>15</v>
      </c>
      <c r="BI94" s="117" t="s">
        <v>1083</v>
      </c>
      <c r="BJ94" s="117" t="s">
        <v>932</v>
      </c>
      <c r="BK94" s="117" t="s">
        <v>932</v>
      </c>
      <c r="BL94" s="117">
        <v>1</v>
      </c>
      <c r="BM94" s="117" t="s">
        <v>932</v>
      </c>
      <c r="BN94" s="117" t="s">
        <v>932</v>
      </c>
      <c r="BO94" s="117" t="s">
        <v>932</v>
      </c>
      <c r="BP94" s="117">
        <v>0</v>
      </c>
      <c r="BQ94" s="117" t="s">
        <v>932</v>
      </c>
      <c r="BS94" s="117">
        <v>200</v>
      </c>
      <c r="BT94" s="117" t="s">
        <v>946</v>
      </c>
      <c r="BU94" s="117" t="s">
        <v>932</v>
      </c>
      <c r="BV94" s="117">
        <v>515</v>
      </c>
      <c r="BW94" s="117" t="s">
        <v>844</v>
      </c>
      <c r="BX94" s="117">
        <v>6.05</v>
      </c>
      <c r="BY94" s="117" t="s">
        <v>190</v>
      </c>
      <c r="CB94" s="117" t="s">
        <v>932</v>
      </c>
      <c r="CC94" s="117">
        <v>821</v>
      </c>
      <c r="CD94" s="117" t="s">
        <v>932</v>
      </c>
      <c r="CE94" s="117" t="s">
        <v>932</v>
      </c>
      <c r="CF94" s="117">
        <v>30</v>
      </c>
      <c r="CG94" s="117">
        <v>2</v>
      </c>
      <c r="CH94" s="117" t="s">
        <v>932</v>
      </c>
      <c r="CI94" s="117" t="s">
        <v>932</v>
      </c>
    </row>
    <row r="95" spans="1:87" s="117" customFormat="1" ht="25.5">
      <c r="A95" s="114">
        <v>41743.430231481485</v>
      </c>
      <c r="B95" s="115">
        <v>41743.430231481485</v>
      </c>
      <c r="C95" s="114"/>
      <c r="D95" s="115"/>
      <c r="E95" s="116" t="s">
        <v>1472</v>
      </c>
      <c r="F95" s="117" t="s">
        <v>1462</v>
      </c>
      <c r="G95" s="117" t="s">
        <v>1466</v>
      </c>
      <c r="H95" s="117">
        <v>5531793</v>
      </c>
      <c r="I95" s="117">
        <v>519</v>
      </c>
      <c r="J95" s="118" t="s">
        <v>1473</v>
      </c>
      <c r="K95" s="117" t="s">
        <v>1474</v>
      </c>
      <c r="L95" s="117" t="s">
        <v>931</v>
      </c>
      <c r="T95" s="119"/>
      <c r="AK95" s="117" t="s">
        <v>1342</v>
      </c>
      <c r="AL95" s="117" t="s">
        <v>943</v>
      </c>
      <c r="AM95" s="117" t="s">
        <v>992</v>
      </c>
      <c r="AN95" s="117" t="s">
        <v>932</v>
      </c>
      <c r="AO95" s="117" t="s">
        <v>1475</v>
      </c>
      <c r="AP95" s="117" t="s">
        <v>981</v>
      </c>
      <c r="AQ95" s="117" t="s">
        <v>1080</v>
      </c>
      <c r="AR95" s="117" t="s">
        <v>942</v>
      </c>
      <c r="AS95" s="117" t="s">
        <v>943</v>
      </c>
      <c r="AT95" s="117" t="s">
        <v>933</v>
      </c>
      <c r="AU95" s="117" t="s">
        <v>932</v>
      </c>
      <c r="AV95" s="117" t="s">
        <v>932</v>
      </c>
      <c r="AW95" s="117">
        <v>0</v>
      </c>
      <c r="AX95" s="117" t="s">
        <v>932</v>
      </c>
      <c r="AY95" s="117">
        <v>0</v>
      </c>
      <c r="AZ95" s="117">
        <v>0</v>
      </c>
      <c r="BA95" s="117" t="s">
        <v>932</v>
      </c>
      <c r="BB95" s="117" t="s">
        <v>932</v>
      </c>
      <c r="BC95" s="117" t="s">
        <v>932</v>
      </c>
      <c r="BD95" s="117" t="s">
        <v>932</v>
      </c>
      <c r="BE95" s="117" t="s">
        <v>932</v>
      </c>
      <c r="BF95" s="117">
        <v>1</v>
      </c>
      <c r="BG95" s="117" t="s">
        <v>932</v>
      </c>
      <c r="BH95" s="117">
        <v>15</v>
      </c>
      <c r="BI95" s="117" t="s">
        <v>1476</v>
      </c>
      <c r="BJ95" s="117" t="s">
        <v>932</v>
      </c>
      <c r="BK95" s="117" t="s">
        <v>932</v>
      </c>
      <c r="BL95" s="117">
        <v>1</v>
      </c>
      <c r="BM95" s="117" t="s">
        <v>932</v>
      </c>
      <c r="BN95" s="117" t="s">
        <v>932</v>
      </c>
      <c r="BO95" s="117" t="s">
        <v>932</v>
      </c>
      <c r="BP95" s="117">
        <v>0</v>
      </c>
      <c r="BR95" s="117">
        <v>400</v>
      </c>
      <c r="BS95" s="117">
        <v>400</v>
      </c>
      <c r="BT95" s="117" t="s">
        <v>946</v>
      </c>
      <c r="BU95" s="117" t="s">
        <v>932</v>
      </c>
      <c r="BV95" s="117">
        <v>519</v>
      </c>
      <c r="BW95" s="117" t="s">
        <v>823</v>
      </c>
      <c r="BX95" s="117">
        <v>6.05</v>
      </c>
      <c r="BY95" s="117" t="s">
        <v>190</v>
      </c>
      <c r="CB95" s="117" t="s">
        <v>932</v>
      </c>
      <c r="CC95" s="117">
        <v>821</v>
      </c>
      <c r="CD95" s="117" t="s">
        <v>932</v>
      </c>
      <c r="CE95" s="117" t="s">
        <v>932</v>
      </c>
      <c r="CF95" s="117">
        <v>30</v>
      </c>
      <c r="CG95" s="117">
        <v>1</v>
      </c>
      <c r="CH95" s="117" t="s">
        <v>932</v>
      </c>
      <c r="CI95" s="117" t="s">
        <v>932</v>
      </c>
    </row>
    <row r="96" spans="1:87" s="117" customFormat="1" ht="25.5">
      <c r="A96" s="114">
        <v>41743.434374999997</v>
      </c>
      <c r="B96" s="115">
        <v>41743.434374999997</v>
      </c>
      <c r="C96" s="114"/>
      <c r="D96" s="115"/>
      <c r="E96" s="116" t="s">
        <v>1477</v>
      </c>
      <c r="F96" s="117" t="s">
        <v>1462</v>
      </c>
      <c r="G96" s="117" t="s">
        <v>1466</v>
      </c>
      <c r="H96" s="117">
        <v>5531793</v>
      </c>
      <c r="I96" s="117">
        <v>517</v>
      </c>
      <c r="J96" s="118" t="s">
        <v>1478</v>
      </c>
      <c r="L96" s="117" t="s">
        <v>931</v>
      </c>
      <c r="T96" s="119"/>
      <c r="AK96" s="117" t="s">
        <v>1479</v>
      </c>
      <c r="AL96" s="117" t="s">
        <v>943</v>
      </c>
      <c r="AM96" s="117" t="s">
        <v>992</v>
      </c>
      <c r="AN96" s="117" t="s">
        <v>932</v>
      </c>
      <c r="AP96" s="117" t="s">
        <v>981</v>
      </c>
      <c r="AQ96" s="117" t="s">
        <v>1080</v>
      </c>
      <c r="AR96" s="117" t="s">
        <v>942</v>
      </c>
      <c r="AS96" s="117" t="s">
        <v>943</v>
      </c>
      <c r="AT96" s="117" t="s">
        <v>933</v>
      </c>
      <c r="AU96" s="117" t="s">
        <v>933</v>
      </c>
      <c r="AV96" s="117" t="s">
        <v>932</v>
      </c>
      <c r="AW96" s="117">
        <v>0</v>
      </c>
      <c r="AX96" s="117" t="s">
        <v>932</v>
      </c>
      <c r="AY96" s="117">
        <v>0</v>
      </c>
      <c r="AZ96" s="117">
        <v>1.5</v>
      </c>
      <c r="BA96" s="117" t="s">
        <v>932</v>
      </c>
      <c r="BB96" s="117" t="s">
        <v>932</v>
      </c>
      <c r="BC96" s="117" t="s">
        <v>932</v>
      </c>
      <c r="BD96" s="117" t="s">
        <v>932</v>
      </c>
      <c r="BE96" s="117" t="s">
        <v>932</v>
      </c>
      <c r="BF96" s="117">
        <v>0</v>
      </c>
      <c r="BH96" s="117">
        <v>15</v>
      </c>
      <c r="BI96" s="117" t="s">
        <v>1480</v>
      </c>
      <c r="BJ96" s="117" t="s">
        <v>932</v>
      </c>
      <c r="BK96" s="117" t="s">
        <v>932</v>
      </c>
      <c r="BL96" s="117">
        <v>1</v>
      </c>
      <c r="BM96" s="117" t="s">
        <v>932</v>
      </c>
      <c r="BN96" s="117" t="s">
        <v>932</v>
      </c>
      <c r="BO96" s="117" t="s">
        <v>932</v>
      </c>
      <c r="BP96" s="117">
        <v>0</v>
      </c>
      <c r="BS96" s="117">
        <v>110</v>
      </c>
      <c r="BT96" s="117" t="s">
        <v>946</v>
      </c>
      <c r="BU96" s="117" t="s">
        <v>932</v>
      </c>
      <c r="BV96" s="117">
        <v>517</v>
      </c>
      <c r="BW96" s="117" t="s">
        <v>846</v>
      </c>
      <c r="BX96" s="117">
        <v>6.05</v>
      </c>
      <c r="BY96" s="117" t="s">
        <v>190</v>
      </c>
      <c r="CB96" s="117" t="s">
        <v>932</v>
      </c>
      <c r="CC96" s="117">
        <v>821</v>
      </c>
      <c r="CD96" s="117" t="s">
        <v>932</v>
      </c>
      <c r="CE96" s="117" t="s">
        <v>932</v>
      </c>
      <c r="CF96" s="117">
        <v>28</v>
      </c>
      <c r="CG96" s="117">
        <v>6</v>
      </c>
      <c r="CH96" s="117" t="s">
        <v>932</v>
      </c>
      <c r="CI96" s="117" t="s">
        <v>932</v>
      </c>
    </row>
    <row r="97" spans="1:93" s="117" customFormat="1" ht="25.5">
      <c r="A97" s="114">
        <v>41743.497083333335</v>
      </c>
      <c r="B97" s="115">
        <v>41743.497083333335</v>
      </c>
      <c r="C97" s="114"/>
      <c r="D97" s="115"/>
      <c r="E97" s="116" t="s">
        <v>1481</v>
      </c>
      <c r="F97" s="117" t="s">
        <v>1482</v>
      </c>
      <c r="G97" s="117" t="s">
        <v>1483</v>
      </c>
      <c r="H97" s="117">
        <v>5511984</v>
      </c>
      <c r="I97" s="117">
        <v>442</v>
      </c>
      <c r="J97" s="118" t="s">
        <v>998</v>
      </c>
      <c r="K97" s="117" t="s">
        <v>1484</v>
      </c>
      <c r="L97" s="117" t="s">
        <v>966</v>
      </c>
      <c r="M97" s="117" t="s">
        <v>932</v>
      </c>
      <c r="N97" s="117" t="s">
        <v>932</v>
      </c>
      <c r="O97" s="117" t="s">
        <v>932</v>
      </c>
      <c r="P97" s="117" t="s">
        <v>932</v>
      </c>
      <c r="Q97" s="117" t="s">
        <v>934</v>
      </c>
      <c r="R97" s="117" t="s">
        <v>932</v>
      </c>
      <c r="S97" s="117" t="s">
        <v>932</v>
      </c>
      <c r="T97" s="119" t="s">
        <v>951</v>
      </c>
      <c r="U97" s="117" t="s">
        <v>932</v>
      </c>
      <c r="V97" s="117" t="s">
        <v>932</v>
      </c>
      <c r="W97" s="117" t="s">
        <v>932</v>
      </c>
      <c r="X97" s="117" t="s">
        <v>934</v>
      </c>
      <c r="Y97" s="117" t="s">
        <v>934</v>
      </c>
      <c r="Z97" s="117" t="s">
        <v>934</v>
      </c>
      <c r="AA97" s="117" t="s">
        <v>934</v>
      </c>
      <c r="AB97" s="117" t="s">
        <v>934</v>
      </c>
      <c r="AC97" s="117" t="s">
        <v>934</v>
      </c>
      <c r="AD97" s="117" t="s">
        <v>934</v>
      </c>
      <c r="AE97" s="117" t="s">
        <v>932</v>
      </c>
      <c r="AF97" s="117" t="s">
        <v>934</v>
      </c>
      <c r="AG97" s="117" t="s">
        <v>934</v>
      </c>
      <c r="AH97" s="117" t="s">
        <v>934</v>
      </c>
      <c r="AI97" s="117" t="s">
        <v>934</v>
      </c>
      <c r="AJ97" s="117" t="s">
        <v>943</v>
      </c>
      <c r="AK97" s="117" t="s">
        <v>936</v>
      </c>
      <c r="AL97" s="117" t="s">
        <v>943</v>
      </c>
      <c r="AM97" s="117" t="s">
        <v>1485</v>
      </c>
      <c r="AN97" s="117" t="s">
        <v>932</v>
      </c>
      <c r="AO97" s="117" t="s">
        <v>1486</v>
      </c>
    </row>
    <row r="98" spans="1:93" s="117" customFormat="1" ht="25.5">
      <c r="A98" s="114">
        <v>41743.499884259261</v>
      </c>
      <c r="B98" s="115">
        <v>41743.499884259261</v>
      </c>
      <c r="C98" s="114">
        <v>41743.50371527778</v>
      </c>
      <c r="D98" s="115">
        <v>41743.50371527778</v>
      </c>
      <c r="E98" s="116" t="s">
        <v>1487</v>
      </c>
      <c r="F98" s="117" t="s">
        <v>1482</v>
      </c>
      <c r="G98" s="117" t="s">
        <v>1483</v>
      </c>
      <c r="H98" s="117">
        <v>5511984</v>
      </c>
      <c r="I98" s="117">
        <v>442</v>
      </c>
      <c r="J98" s="118" t="s">
        <v>998</v>
      </c>
      <c r="K98" s="117" t="s">
        <v>1488</v>
      </c>
      <c r="L98" s="117" t="s">
        <v>966</v>
      </c>
      <c r="T98" s="119"/>
      <c r="AK98" s="117" t="s">
        <v>936</v>
      </c>
      <c r="AL98" s="117" t="s">
        <v>1451</v>
      </c>
      <c r="AM98" s="117" t="s">
        <v>1485</v>
      </c>
      <c r="AN98" s="117" t="s">
        <v>932</v>
      </c>
      <c r="AO98" s="117" t="s">
        <v>1489</v>
      </c>
      <c r="AP98" s="117" t="s">
        <v>940</v>
      </c>
      <c r="AQ98" s="117" t="s">
        <v>1187</v>
      </c>
      <c r="AR98" s="117" t="s">
        <v>942</v>
      </c>
      <c r="AS98" s="117" t="s">
        <v>943</v>
      </c>
      <c r="AT98" s="117" t="s">
        <v>933</v>
      </c>
      <c r="AU98" s="117" t="s">
        <v>932</v>
      </c>
      <c r="AV98" s="117" t="s">
        <v>932</v>
      </c>
      <c r="AW98" s="117">
        <v>0</v>
      </c>
      <c r="AX98" s="117" t="s">
        <v>932</v>
      </c>
      <c r="AY98" s="117">
        <v>0</v>
      </c>
      <c r="AZ98" s="117">
        <v>3</v>
      </c>
      <c r="BA98" s="117" t="s">
        <v>932</v>
      </c>
      <c r="BB98" s="117" t="s">
        <v>933</v>
      </c>
      <c r="BC98" s="117" t="s">
        <v>932</v>
      </c>
      <c r="BD98" s="117" t="s">
        <v>932</v>
      </c>
      <c r="BE98" s="117" t="s">
        <v>932</v>
      </c>
      <c r="BG98" s="117" t="s">
        <v>932</v>
      </c>
      <c r="BH98" s="117">
        <v>15</v>
      </c>
      <c r="BI98" s="117" t="s">
        <v>1490</v>
      </c>
      <c r="BJ98" s="117" t="s">
        <v>932</v>
      </c>
      <c r="BK98" s="117" t="s">
        <v>932</v>
      </c>
      <c r="BL98" s="117">
        <v>1</v>
      </c>
      <c r="BM98" s="117" t="s">
        <v>932</v>
      </c>
      <c r="BO98" s="117" t="s">
        <v>932</v>
      </c>
      <c r="BP98" s="117">
        <v>1</v>
      </c>
      <c r="BQ98" s="117" t="s">
        <v>932</v>
      </c>
      <c r="BS98" s="117">
        <v>100</v>
      </c>
      <c r="BT98" s="117" t="s">
        <v>946</v>
      </c>
      <c r="BU98" s="117" t="s">
        <v>932</v>
      </c>
      <c r="BV98" s="117">
        <v>442</v>
      </c>
      <c r="BW98" s="117" t="s">
        <v>905</v>
      </c>
      <c r="BX98" s="117">
        <v>6.05</v>
      </c>
      <c r="BY98" s="117" t="s">
        <v>190</v>
      </c>
      <c r="CB98" s="117" t="s">
        <v>932</v>
      </c>
      <c r="CC98" s="117">
        <v>821</v>
      </c>
      <c r="CD98" s="117" t="s">
        <v>932</v>
      </c>
      <c r="CE98" s="117" t="s">
        <v>932</v>
      </c>
      <c r="CF98" s="117">
        <v>30</v>
      </c>
      <c r="CG98" s="117">
        <v>1</v>
      </c>
      <c r="CH98" s="117" t="s">
        <v>932</v>
      </c>
      <c r="CI98" s="117" t="s">
        <v>932</v>
      </c>
    </row>
    <row r="99" spans="1:93" s="117" customFormat="1" ht="42">
      <c r="A99" s="114">
        <v>41737.682754629626</v>
      </c>
      <c r="B99" s="115">
        <v>41737.682754629626</v>
      </c>
      <c r="C99" s="114">
        <v>41737.685289351852</v>
      </c>
      <c r="D99" s="115">
        <v>41737.685289351852</v>
      </c>
      <c r="E99" s="116" t="s">
        <v>1272</v>
      </c>
      <c r="F99" s="122" t="s">
        <v>1268</v>
      </c>
      <c r="G99" s="117" t="s">
        <v>1269</v>
      </c>
      <c r="H99" s="117">
        <v>9895511178</v>
      </c>
      <c r="I99" s="117">
        <v>559</v>
      </c>
      <c r="J99" s="118" t="s">
        <v>929</v>
      </c>
      <c r="K99" s="117" t="s">
        <v>1491</v>
      </c>
      <c r="L99" s="117" t="s">
        <v>966</v>
      </c>
      <c r="M99" s="117" t="s">
        <v>932</v>
      </c>
      <c r="N99" s="117" t="s">
        <v>932</v>
      </c>
      <c r="O99" s="117" t="s">
        <v>932</v>
      </c>
      <c r="P99" s="117" t="s">
        <v>932</v>
      </c>
      <c r="Q99" s="117" t="s">
        <v>934</v>
      </c>
      <c r="R99" s="117" t="s">
        <v>934</v>
      </c>
      <c r="S99" s="117" t="s">
        <v>934</v>
      </c>
      <c r="T99" s="119" t="s">
        <v>934</v>
      </c>
      <c r="U99" s="117" t="s">
        <v>932</v>
      </c>
      <c r="V99" s="117" t="s">
        <v>932</v>
      </c>
      <c r="W99" s="117" t="s">
        <v>932</v>
      </c>
      <c r="X99" s="117" t="s">
        <v>934</v>
      </c>
      <c r="Y99" s="117" t="s">
        <v>934</v>
      </c>
      <c r="Z99" s="117" t="s">
        <v>934</v>
      </c>
      <c r="AA99" s="117" t="s">
        <v>934</v>
      </c>
      <c r="AB99" s="117" t="s">
        <v>934</v>
      </c>
      <c r="AC99" s="117" t="s">
        <v>934</v>
      </c>
      <c r="AD99" s="117" t="s">
        <v>934</v>
      </c>
      <c r="AE99" s="117" t="s">
        <v>934</v>
      </c>
      <c r="AF99" s="117" t="s">
        <v>934</v>
      </c>
      <c r="AG99" s="117" t="s">
        <v>934</v>
      </c>
      <c r="AH99" s="117" t="s">
        <v>934</v>
      </c>
      <c r="AI99" s="117" t="s">
        <v>934</v>
      </c>
      <c r="AJ99" s="117" t="s">
        <v>943</v>
      </c>
      <c r="AK99" s="117" t="s">
        <v>1492</v>
      </c>
      <c r="AL99" s="117" t="s">
        <v>943</v>
      </c>
      <c r="AM99" s="117" t="s">
        <v>1088</v>
      </c>
      <c r="AN99" s="117" t="s">
        <v>932</v>
      </c>
      <c r="AO99" s="117" t="s">
        <v>1493</v>
      </c>
      <c r="AP99" s="123" t="s">
        <v>970</v>
      </c>
      <c r="AQ99" s="123" t="s">
        <v>1273</v>
      </c>
      <c r="AR99" s="123" t="s">
        <v>943</v>
      </c>
      <c r="AS99" s="123" t="s">
        <v>943</v>
      </c>
      <c r="AT99" s="123" t="s">
        <v>933</v>
      </c>
      <c r="AU99" s="123" t="s">
        <v>932</v>
      </c>
      <c r="AV99" s="123" t="s">
        <v>933</v>
      </c>
      <c r="AW99" s="123" t="s">
        <v>944</v>
      </c>
      <c r="AX99" s="123" t="s">
        <v>932</v>
      </c>
      <c r="AY99" s="123">
        <v>0.4</v>
      </c>
      <c r="AZ99" s="123">
        <v>0.4</v>
      </c>
      <c r="BA99" s="123" t="s">
        <v>932</v>
      </c>
      <c r="BB99" s="123" t="s">
        <v>932</v>
      </c>
      <c r="BC99" s="123" t="s">
        <v>932</v>
      </c>
      <c r="BD99" s="123" t="s">
        <v>932</v>
      </c>
      <c r="BE99" s="123" t="s">
        <v>932</v>
      </c>
      <c r="BF99" s="123">
        <v>1</v>
      </c>
      <c r="BG99" s="123" t="s">
        <v>932</v>
      </c>
      <c r="BH99" s="123">
        <v>15</v>
      </c>
      <c r="BI99" s="123" t="s">
        <v>1083</v>
      </c>
      <c r="BJ99" s="123" t="s">
        <v>932</v>
      </c>
      <c r="BK99" s="123" t="s">
        <v>932</v>
      </c>
      <c r="BL99" s="123">
        <v>1</v>
      </c>
      <c r="BM99" s="123" t="s">
        <v>932</v>
      </c>
      <c r="BN99" s="123" t="s">
        <v>932</v>
      </c>
      <c r="BO99" s="123" t="s">
        <v>932</v>
      </c>
      <c r="BP99" s="123">
        <v>1</v>
      </c>
      <c r="BQ99" s="123" t="s">
        <v>932</v>
      </c>
      <c r="BR99" s="123"/>
      <c r="BS99" s="123">
        <v>75</v>
      </c>
      <c r="BT99" s="123" t="s">
        <v>946</v>
      </c>
      <c r="BU99" s="123" t="s">
        <v>932</v>
      </c>
      <c r="BV99" s="123">
        <v>559</v>
      </c>
      <c r="BW99" s="123" t="s">
        <v>1274</v>
      </c>
      <c r="BX99" s="123">
        <v>6.05</v>
      </c>
      <c r="BY99" s="123" t="s">
        <v>190</v>
      </c>
      <c r="BZ99" s="123"/>
      <c r="CA99" s="123"/>
      <c r="CB99" s="123" t="s">
        <v>932</v>
      </c>
      <c r="CC99" s="123" t="s">
        <v>1443</v>
      </c>
      <c r="CD99" s="123" t="s">
        <v>932</v>
      </c>
      <c r="CE99" s="123" t="s">
        <v>932</v>
      </c>
      <c r="CF99" s="123">
        <v>35</v>
      </c>
      <c r="CG99" s="123">
        <v>6</v>
      </c>
      <c r="CH99" s="123" t="s">
        <v>932</v>
      </c>
      <c r="CI99" s="123" t="s">
        <v>932</v>
      </c>
      <c r="CJ99" s="123"/>
      <c r="CK99" s="123"/>
      <c r="CL99" s="123"/>
      <c r="CM99" s="123"/>
      <c r="CN99" s="123"/>
    </row>
    <row r="100" spans="1:93" s="117" customFormat="1" ht="25.5">
      <c r="A100" s="114">
        <v>41737.686145833337</v>
      </c>
      <c r="B100" s="115">
        <v>41737.686145833337</v>
      </c>
      <c r="C100" s="114">
        <v>41737.687488425923</v>
      </c>
      <c r="D100" s="115">
        <v>41737.687488425923</v>
      </c>
      <c r="E100" s="116" t="s">
        <v>1267</v>
      </c>
      <c r="F100" s="122" t="s">
        <v>1494</v>
      </c>
      <c r="G100" s="117" t="s">
        <v>1269</v>
      </c>
      <c r="H100" s="117">
        <v>9895511178</v>
      </c>
      <c r="I100" s="117">
        <v>556</v>
      </c>
      <c r="J100" s="118" t="s">
        <v>1144</v>
      </c>
      <c r="K100" s="117" t="s">
        <v>1324</v>
      </c>
      <c r="L100" s="117" t="s">
        <v>966</v>
      </c>
      <c r="M100" s="117" t="s">
        <v>932</v>
      </c>
      <c r="N100" s="117" t="s">
        <v>932</v>
      </c>
      <c r="O100" s="117" t="s">
        <v>932</v>
      </c>
      <c r="P100" s="117" t="s">
        <v>932</v>
      </c>
      <c r="Q100" s="117" t="s">
        <v>934</v>
      </c>
      <c r="R100" s="117" t="s">
        <v>934</v>
      </c>
      <c r="S100" s="117" t="s">
        <v>934</v>
      </c>
      <c r="T100" s="119" t="s">
        <v>932</v>
      </c>
      <c r="U100" s="117" t="s">
        <v>932</v>
      </c>
      <c r="V100" s="117" t="s">
        <v>932</v>
      </c>
      <c r="W100" s="117" t="s">
        <v>932</v>
      </c>
      <c r="X100" s="117" t="s">
        <v>934</v>
      </c>
      <c r="Y100" s="117" t="s">
        <v>934</v>
      </c>
      <c r="Z100" s="117" t="s">
        <v>934</v>
      </c>
      <c r="AA100" s="117" t="s">
        <v>934</v>
      </c>
      <c r="AB100" s="117" t="s">
        <v>934</v>
      </c>
      <c r="AC100" s="117" t="s">
        <v>934</v>
      </c>
      <c r="AD100" s="117" t="s">
        <v>934</v>
      </c>
      <c r="AE100" s="117" t="s">
        <v>934</v>
      </c>
      <c r="AF100" s="117" t="s">
        <v>934</v>
      </c>
      <c r="AG100" s="117" t="s">
        <v>934</v>
      </c>
      <c r="AH100" s="117" t="s">
        <v>934</v>
      </c>
      <c r="AI100" s="117" t="s">
        <v>934</v>
      </c>
      <c r="AJ100" s="117" t="s">
        <v>943</v>
      </c>
      <c r="AK100" s="117" t="s">
        <v>1495</v>
      </c>
      <c r="AL100" s="117" t="s">
        <v>943</v>
      </c>
      <c r="AM100" s="117" t="s">
        <v>1088</v>
      </c>
      <c r="AN100" s="117" t="s">
        <v>932</v>
      </c>
      <c r="AO100" s="124"/>
      <c r="AP100" s="123" t="s">
        <v>981</v>
      </c>
      <c r="AQ100" s="123" t="s">
        <v>1265</v>
      </c>
      <c r="AR100" s="123" t="s">
        <v>943</v>
      </c>
      <c r="AS100" s="123" t="s">
        <v>943</v>
      </c>
      <c r="AT100" s="123" t="s">
        <v>933</v>
      </c>
      <c r="AU100" s="123" t="s">
        <v>932</v>
      </c>
      <c r="AV100" s="123" t="s">
        <v>932</v>
      </c>
      <c r="AW100" s="123">
        <v>0.6</v>
      </c>
      <c r="AX100" s="123" t="s">
        <v>932</v>
      </c>
      <c r="AY100" s="123">
        <v>0.6</v>
      </c>
      <c r="AZ100" s="123"/>
      <c r="BA100" s="123" t="s">
        <v>932</v>
      </c>
      <c r="BB100" s="123" t="s">
        <v>932</v>
      </c>
      <c r="BC100" s="123" t="s">
        <v>932</v>
      </c>
      <c r="BD100" s="123" t="s">
        <v>932</v>
      </c>
      <c r="BE100" s="123" t="s">
        <v>932</v>
      </c>
      <c r="BF100" s="123">
        <v>1</v>
      </c>
      <c r="BG100" s="123" t="s">
        <v>932</v>
      </c>
      <c r="BH100" s="123">
        <v>15</v>
      </c>
      <c r="BI100" s="123" t="s">
        <v>1176</v>
      </c>
      <c r="BJ100" s="123" t="s">
        <v>932</v>
      </c>
      <c r="BK100" s="123" t="s">
        <v>932</v>
      </c>
      <c r="BL100" s="123">
        <v>1</v>
      </c>
      <c r="BM100" s="123" t="s">
        <v>932</v>
      </c>
      <c r="BN100" s="123" t="s">
        <v>932</v>
      </c>
      <c r="BO100" s="123" t="s">
        <v>932</v>
      </c>
      <c r="BP100" s="123">
        <v>1</v>
      </c>
      <c r="BQ100" s="123" t="s">
        <v>932</v>
      </c>
      <c r="BR100" s="123"/>
      <c r="BS100" s="123">
        <v>250</v>
      </c>
      <c r="BT100" s="123" t="s">
        <v>946</v>
      </c>
      <c r="BU100" s="123" t="s">
        <v>932</v>
      </c>
      <c r="BV100" s="123">
        <v>556</v>
      </c>
      <c r="BW100" s="123" t="s">
        <v>1271</v>
      </c>
      <c r="BX100" s="123">
        <v>6.05</v>
      </c>
      <c r="BY100" s="123" t="s">
        <v>190</v>
      </c>
      <c r="BZ100" s="123"/>
      <c r="CA100" s="123"/>
      <c r="CB100" s="123" t="s">
        <v>932</v>
      </c>
      <c r="CC100" s="123" t="s">
        <v>1443</v>
      </c>
      <c r="CD100" s="123" t="s">
        <v>932</v>
      </c>
      <c r="CE100" s="123" t="s">
        <v>932</v>
      </c>
      <c r="CF100" s="123">
        <v>28</v>
      </c>
      <c r="CG100" s="123">
        <v>1</v>
      </c>
      <c r="CH100" s="123" t="s">
        <v>932</v>
      </c>
      <c r="CI100" s="123" t="s">
        <v>932</v>
      </c>
      <c r="CJ100" s="123"/>
      <c r="CK100" s="123"/>
      <c r="CL100" s="123"/>
      <c r="CM100" s="123"/>
      <c r="CN100" s="123"/>
      <c r="CO100" s="123"/>
    </row>
    <row r="101" spans="1:93" s="117" customFormat="1" ht="25.5">
      <c r="A101" s="114">
        <v>41737.688067129631</v>
      </c>
      <c r="B101" s="115">
        <v>41737.688067129631</v>
      </c>
      <c r="C101" s="114">
        <v>41737.689409722225</v>
      </c>
      <c r="D101" s="115">
        <v>41737.689409722225</v>
      </c>
      <c r="E101" s="116" t="s">
        <v>1496</v>
      </c>
      <c r="F101" s="122" t="s">
        <v>1494</v>
      </c>
      <c r="G101" s="117" t="s">
        <v>1269</v>
      </c>
      <c r="H101" s="117">
        <v>9895511178</v>
      </c>
      <c r="I101" s="117">
        <v>554</v>
      </c>
      <c r="J101" s="118" t="s">
        <v>1144</v>
      </c>
      <c r="K101" s="117" t="s">
        <v>1497</v>
      </c>
      <c r="L101" s="117" t="s">
        <v>966</v>
      </c>
      <c r="M101" s="117" t="s">
        <v>932</v>
      </c>
      <c r="N101" s="117" t="s">
        <v>932</v>
      </c>
      <c r="O101" s="117" t="s">
        <v>932</v>
      </c>
      <c r="P101" s="117" t="s">
        <v>932</v>
      </c>
      <c r="Q101" s="117" t="s">
        <v>934</v>
      </c>
      <c r="R101" s="117" t="s">
        <v>934</v>
      </c>
      <c r="S101" s="117" t="s">
        <v>934</v>
      </c>
      <c r="T101" s="119" t="s">
        <v>932</v>
      </c>
      <c r="U101" s="117" t="s">
        <v>932</v>
      </c>
      <c r="V101" s="117" t="s">
        <v>932</v>
      </c>
      <c r="W101" s="117" t="s">
        <v>932</v>
      </c>
      <c r="X101" s="117" t="s">
        <v>934</v>
      </c>
      <c r="Y101" s="117" t="s">
        <v>934</v>
      </c>
      <c r="Z101" s="117" t="s">
        <v>934</v>
      </c>
      <c r="AA101" s="117" t="s">
        <v>934</v>
      </c>
      <c r="AB101" s="117" t="s">
        <v>934</v>
      </c>
      <c r="AC101" s="117" t="s">
        <v>934</v>
      </c>
      <c r="AD101" s="117" t="s">
        <v>934</v>
      </c>
      <c r="AE101" s="117" t="s">
        <v>934</v>
      </c>
      <c r="AF101" s="117" t="s">
        <v>934</v>
      </c>
      <c r="AG101" s="117" t="s">
        <v>934</v>
      </c>
      <c r="AH101" s="117" t="s">
        <v>934</v>
      </c>
      <c r="AI101" s="117" t="s">
        <v>934</v>
      </c>
      <c r="AJ101" s="117" t="s">
        <v>943</v>
      </c>
      <c r="AK101" s="117" t="s">
        <v>1176</v>
      </c>
      <c r="AL101" s="117" t="s">
        <v>943</v>
      </c>
      <c r="AM101" s="117" t="s">
        <v>1088</v>
      </c>
      <c r="AN101" s="117" t="s">
        <v>932</v>
      </c>
      <c r="AO101" s="124"/>
      <c r="AP101" s="124"/>
      <c r="AQ101" s="124"/>
      <c r="AR101" s="124"/>
      <c r="AS101" s="124"/>
      <c r="AT101" s="124"/>
      <c r="AU101" s="124"/>
      <c r="AV101" s="124"/>
      <c r="AW101" s="124"/>
      <c r="AX101" s="124"/>
      <c r="AY101" s="124"/>
      <c r="AZ101" s="124"/>
      <c r="BA101" s="124"/>
      <c r="BB101" s="124"/>
      <c r="BC101" s="124"/>
      <c r="BD101" s="124"/>
      <c r="BE101" s="124"/>
      <c r="BF101" s="124"/>
      <c r="BG101" s="124"/>
      <c r="BH101" s="124"/>
      <c r="BI101" s="124"/>
      <c r="BJ101" s="124"/>
      <c r="BK101" s="124"/>
      <c r="BL101" s="124"/>
      <c r="BM101" s="124"/>
      <c r="BN101" s="124"/>
      <c r="BO101" s="124"/>
      <c r="BP101" s="124"/>
      <c r="BQ101" s="124"/>
      <c r="BR101" s="124"/>
      <c r="BS101" s="124"/>
      <c r="BT101" s="124"/>
      <c r="BU101" s="124"/>
      <c r="BV101" s="124"/>
      <c r="BW101" s="124"/>
      <c r="BX101" s="124"/>
      <c r="BY101" s="124"/>
      <c r="BZ101" s="124"/>
      <c r="CA101" s="124"/>
      <c r="CB101" s="124"/>
      <c r="CC101" s="124"/>
      <c r="CD101" s="124"/>
      <c r="CE101" s="124"/>
      <c r="CF101" s="124"/>
      <c r="CG101" s="124"/>
      <c r="CH101" s="124"/>
      <c r="CI101" s="124"/>
    </row>
    <row r="102" spans="1:93" s="117" customFormat="1" ht="25.5">
      <c r="A102" s="114">
        <v>41737.689918981479</v>
      </c>
      <c r="B102" s="115">
        <v>41737.689918981479</v>
      </c>
      <c r="C102" s="114">
        <v>41737.691134259258</v>
      </c>
      <c r="D102" s="115">
        <v>41737.691134259258</v>
      </c>
      <c r="E102" s="116" t="s">
        <v>1281</v>
      </c>
      <c r="F102" s="122" t="s">
        <v>1494</v>
      </c>
      <c r="G102" s="117" t="s">
        <v>1269</v>
      </c>
      <c r="H102" s="117">
        <v>9895511178</v>
      </c>
      <c r="I102" s="117">
        <v>555</v>
      </c>
      <c r="J102" s="118" t="s">
        <v>1144</v>
      </c>
      <c r="K102" s="117" t="s">
        <v>1497</v>
      </c>
      <c r="L102" s="117" t="s">
        <v>966</v>
      </c>
      <c r="M102" s="117" t="s">
        <v>932</v>
      </c>
      <c r="N102" s="117" t="s">
        <v>932</v>
      </c>
      <c r="O102" s="117" t="s">
        <v>932</v>
      </c>
      <c r="P102" s="117" t="s">
        <v>932</v>
      </c>
      <c r="Q102" s="117" t="s">
        <v>934</v>
      </c>
      <c r="R102" s="117" t="s">
        <v>934</v>
      </c>
      <c r="S102" s="117" t="s">
        <v>934</v>
      </c>
      <c r="T102" s="119" t="s">
        <v>932</v>
      </c>
      <c r="U102" s="117" t="s">
        <v>932</v>
      </c>
      <c r="V102" s="117" t="s">
        <v>932</v>
      </c>
      <c r="W102" s="117" t="s">
        <v>932</v>
      </c>
      <c r="X102" s="117" t="s">
        <v>934</v>
      </c>
      <c r="Y102" s="117" t="s">
        <v>934</v>
      </c>
      <c r="Z102" s="117" t="s">
        <v>934</v>
      </c>
      <c r="AA102" s="117" t="s">
        <v>934</v>
      </c>
      <c r="AB102" s="117" t="s">
        <v>934</v>
      </c>
      <c r="AC102" s="117" t="s">
        <v>934</v>
      </c>
      <c r="AD102" s="117" t="s">
        <v>934</v>
      </c>
      <c r="AE102" s="117" t="s">
        <v>934</v>
      </c>
      <c r="AF102" s="117" t="s">
        <v>934</v>
      </c>
      <c r="AG102" s="117" t="s">
        <v>934</v>
      </c>
      <c r="AH102" s="117" t="s">
        <v>934</v>
      </c>
      <c r="AI102" s="117" t="s">
        <v>934</v>
      </c>
      <c r="AJ102" s="117" t="s">
        <v>943</v>
      </c>
      <c r="AK102" s="117" t="s">
        <v>1498</v>
      </c>
      <c r="AL102" s="117" t="s">
        <v>943</v>
      </c>
      <c r="AM102" s="117" t="s">
        <v>1088</v>
      </c>
      <c r="AN102" s="117" t="s">
        <v>932</v>
      </c>
      <c r="AO102" s="117" t="s">
        <v>1499</v>
      </c>
      <c r="AP102" s="117" t="s">
        <v>970</v>
      </c>
      <c r="AQ102" s="117" t="s">
        <v>1282</v>
      </c>
      <c r="AR102" s="117" t="s">
        <v>943</v>
      </c>
      <c r="AS102" s="117" t="s">
        <v>943</v>
      </c>
      <c r="AT102" s="117" t="s">
        <v>933</v>
      </c>
      <c r="AU102" s="117" t="s">
        <v>933</v>
      </c>
      <c r="AV102" s="117" t="s">
        <v>933</v>
      </c>
      <c r="AW102" s="117">
        <v>99</v>
      </c>
      <c r="AX102" s="117" t="s">
        <v>933</v>
      </c>
      <c r="AZ102" s="117">
        <v>100</v>
      </c>
      <c r="BB102" s="117" t="s">
        <v>932</v>
      </c>
      <c r="BC102" s="117" t="s">
        <v>932</v>
      </c>
      <c r="BD102" s="117" t="s">
        <v>932</v>
      </c>
      <c r="BF102" s="117">
        <v>1</v>
      </c>
      <c r="BG102" s="117" t="s">
        <v>932</v>
      </c>
      <c r="BH102" s="117">
        <v>15</v>
      </c>
      <c r="BI102" s="117" t="s">
        <v>1083</v>
      </c>
      <c r="BJ102" s="117" t="s">
        <v>932</v>
      </c>
      <c r="BK102" s="117" t="s">
        <v>932</v>
      </c>
      <c r="BL102" s="117">
        <v>1</v>
      </c>
      <c r="BM102" s="117" t="s">
        <v>932</v>
      </c>
      <c r="BN102" s="117" t="s">
        <v>932</v>
      </c>
      <c r="BO102" s="117" t="s">
        <v>932</v>
      </c>
      <c r="BP102" s="117">
        <v>0</v>
      </c>
      <c r="BS102" s="117">
        <v>50</v>
      </c>
      <c r="BT102" s="117" t="s">
        <v>946</v>
      </c>
      <c r="BU102" s="117" t="s">
        <v>932</v>
      </c>
      <c r="BV102" s="117">
        <v>555</v>
      </c>
      <c r="BW102" s="117" t="s">
        <v>1283</v>
      </c>
      <c r="BX102" s="117">
        <v>6.05</v>
      </c>
      <c r="BY102" s="117" t="s">
        <v>190</v>
      </c>
      <c r="CB102" s="117" t="s">
        <v>932</v>
      </c>
      <c r="CC102" s="117" t="s">
        <v>1443</v>
      </c>
      <c r="CD102" s="117" t="s">
        <v>932</v>
      </c>
      <c r="CE102" s="117" t="s">
        <v>932</v>
      </c>
      <c r="CF102" s="117">
        <v>30</v>
      </c>
      <c r="CG102" s="117">
        <v>1.5</v>
      </c>
      <c r="CH102" s="117" t="s">
        <v>932</v>
      </c>
      <c r="CI102" s="117" t="s">
        <v>932</v>
      </c>
    </row>
    <row r="103" spans="1:93" s="117" customFormat="1" ht="25.5">
      <c r="A103" s="114">
        <v>41737.692048611112</v>
      </c>
      <c r="B103" s="115">
        <v>41737.692048611112</v>
      </c>
      <c r="C103" s="114">
        <v>41737.693310185183</v>
      </c>
      <c r="D103" s="115">
        <v>41737.693310185183</v>
      </c>
      <c r="E103" s="116" t="s">
        <v>1284</v>
      </c>
      <c r="F103" s="122" t="s">
        <v>1494</v>
      </c>
      <c r="G103" s="117" t="s">
        <v>1269</v>
      </c>
      <c r="H103" s="117">
        <v>9895511178</v>
      </c>
      <c r="I103" s="117">
        <v>557</v>
      </c>
      <c r="J103" s="118" t="s">
        <v>998</v>
      </c>
      <c r="K103" s="117" t="s">
        <v>1285</v>
      </c>
      <c r="L103" s="117" t="s">
        <v>931</v>
      </c>
      <c r="M103" s="117" t="s">
        <v>932</v>
      </c>
      <c r="N103" s="117" t="s">
        <v>932</v>
      </c>
      <c r="O103" s="117" t="s">
        <v>932</v>
      </c>
      <c r="P103" s="117" t="s">
        <v>934</v>
      </c>
      <c r="Q103" s="117" t="s">
        <v>934</v>
      </c>
      <c r="R103" s="117" t="s">
        <v>934</v>
      </c>
      <c r="S103" s="117" t="s">
        <v>934</v>
      </c>
      <c r="T103" s="119" t="s">
        <v>934</v>
      </c>
      <c r="U103" s="117" t="s">
        <v>932</v>
      </c>
      <c r="V103" s="117" t="s">
        <v>932</v>
      </c>
      <c r="W103" s="117" t="s">
        <v>932</v>
      </c>
      <c r="X103" s="117" t="s">
        <v>934</v>
      </c>
      <c r="Y103" s="117" t="s">
        <v>934</v>
      </c>
      <c r="Z103" s="117" t="s">
        <v>934</v>
      </c>
      <c r="AA103" s="117" t="s">
        <v>934</v>
      </c>
      <c r="AB103" s="117" t="s">
        <v>934</v>
      </c>
      <c r="AC103" s="117" t="s">
        <v>934</v>
      </c>
      <c r="AD103" s="117" t="s">
        <v>934</v>
      </c>
      <c r="AE103" s="117" t="s">
        <v>934</v>
      </c>
      <c r="AF103" s="117" t="s">
        <v>934</v>
      </c>
      <c r="AG103" s="117" t="s">
        <v>934</v>
      </c>
      <c r="AH103" s="117" t="s">
        <v>934</v>
      </c>
      <c r="AI103" s="117" t="s">
        <v>934</v>
      </c>
      <c r="AJ103" s="117" t="s">
        <v>943</v>
      </c>
      <c r="AK103" s="117" t="s">
        <v>1500</v>
      </c>
      <c r="AL103" s="117" t="s">
        <v>943</v>
      </c>
      <c r="AM103" s="117" t="s">
        <v>1088</v>
      </c>
      <c r="AN103" s="117" t="s">
        <v>932</v>
      </c>
      <c r="AO103" s="124"/>
      <c r="AP103" s="117" t="s">
        <v>1080</v>
      </c>
      <c r="AQ103" s="117" t="s">
        <v>1265</v>
      </c>
      <c r="AR103" s="117" t="s">
        <v>943</v>
      </c>
      <c r="AS103" s="117" t="s">
        <v>943</v>
      </c>
      <c r="AT103" s="117" t="s">
        <v>933</v>
      </c>
      <c r="AU103" s="117" t="s">
        <v>933</v>
      </c>
      <c r="AV103" s="117" t="s">
        <v>932</v>
      </c>
      <c r="AW103" s="117">
        <v>0.4</v>
      </c>
      <c r="AY103" s="117" t="s">
        <v>944</v>
      </c>
      <c r="AZ103" s="117" t="s">
        <v>944</v>
      </c>
      <c r="BA103" s="117" t="s">
        <v>932</v>
      </c>
      <c r="BB103" s="117" t="s">
        <v>932</v>
      </c>
      <c r="BC103" s="117" t="s">
        <v>932</v>
      </c>
      <c r="BD103" s="117" t="s">
        <v>932</v>
      </c>
      <c r="BE103" s="117" t="s">
        <v>932</v>
      </c>
      <c r="BF103" s="117">
        <v>2</v>
      </c>
      <c r="BG103" s="117" t="s">
        <v>933</v>
      </c>
      <c r="BH103" s="117">
        <v>15</v>
      </c>
      <c r="BI103" s="117" t="s">
        <v>1286</v>
      </c>
      <c r="BJ103" s="117" t="s">
        <v>932</v>
      </c>
      <c r="BK103" s="117" t="s">
        <v>932</v>
      </c>
      <c r="BL103" s="117">
        <v>1</v>
      </c>
      <c r="BM103" s="117" t="s">
        <v>932</v>
      </c>
      <c r="BO103" s="117" t="s">
        <v>932</v>
      </c>
      <c r="BP103" s="117">
        <v>0</v>
      </c>
      <c r="BQ103" s="117" t="s">
        <v>932</v>
      </c>
      <c r="BS103" s="117">
        <v>150</v>
      </c>
      <c r="BT103" s="117" t="s">
        <v>946</v>
      </c>
      <c r="BU103" s="117" t="s">
        <v>932</v>
      </c>
      <c r="BV103" s="117">
        <v>557</v>
      </c>
      <c r="BW103" s="117" t="s">
        <v>1287</v>
      </c>
      <c r="BX103" s="117">
        <v>6.05</v>
      </c>
      <c r="BY103" s="117" t="s">
        <v>190</v>
      </c>
      <c r="CB103" s="117" t="s">
        <v>932</v>
      </c>
      <c r="CC103" s="117" t="s">
        <v>1443</v>
      </c>
      <c r="CD103" s="117" t="s">
        <v>932</v>
      </c>
      <c r="CE103" s="117" t="s">
        <v>932</v>
      </c>
      <c r="CF103" s="117">
        <v>32</v>
      </c>
      <c r="CG103" s="117">
        <v>1</v>
      </c>
      <c r="CH103" s="117" t="s">
        <v>932</v>
      </c>
      <c r="CI103" s="117" t="s">
        <v>932</v>
      </c>
    </row>
    <row r="104" spans="1:93" s="117" customFormat="1" ht="25.5">
      <c r="A104" s="114">
        <v>41737.693726851852</v>
      </c>
      <c r="B104" s="115">
        <v>41737.693726851852</v>
      </c>
      <c r="C104" s="114">
        <v>41737.695057870369</v>
      </c>
      <c r="D104" s="115">
        <v>41737.695057870369</v>
      </c>
      <c r="E104" s="116" t="s">
        <v>1501</v>
      </c>
      <c r="F104" s="122" t="s">
        <v>1494</v>
      </c>
      <c r="G104" s="117" t="s">
        <v>1502</v>
      </c>
      <c r="H104" s="117">
        <v>9895511178</v>
      </c>
      <c r="I104" s="117">
        <v>558</v>
      </c>
      <c r="J104" s="118" t="s">
        <v>950</v>
      </c>
      <c r="K104" s="117" t="s">
        <v>977</v>
      </c>
      <c r="L104" s="117" t="s">
        <v>966</v>
      </c>
      <c r="M104" s="117" t="s">
        <v>932</v>
      </c>
      <c r="N104" s="117" t="s">
        <v>932</v>
      </c>
      <c r="O104" s="117" t="s">
        <v>932</v>
      </c>
      <c r="P104" s="117" t="s">
        <v>934</v>
      </c>
      <c r="Q104" s="117" t="s">
        <v>934</v>
      </c>
      <c r="R104" s="117" t="s">
        <v>934</v>
      </c>
      <c r="S104" s="117" t="s">
        <v>934</v>
      </c>
      <c r="T104" s="119" t="s">
        <v>934</v>
      </c>
      <c r="U104" s="117" t="s">
        <v>932</v>
      </c>
      <c r="V104" s="117" t="s">
        <v>932</v>
      </c>
      <c r="W104" s="117" t="s">
        <v>932</v>
      </c>
      <c r="X104" s="117" t="s">
        <v>934</v>
      </c>
      <c r="Y104" s="117" t="s">
        <v>934</v>
      </c>
      <c r="Z104" s="117" t="s">
        <v>934</v>
      </c>
      <c r="AA104" s="117" t="s">
        <v>934</v>
      </c>
      <c r="AB104" s="117" t="s">
        <v>934</v>
      </c>
      <c r="AC104" s="117" t="s">
        <v>934</v>
      </c>
      <c r="AD104" s="117" t="s">
        <v>934</v>
      </c>
      <c r="AE104" s="117" t="s">
        <v>934</v>
      </c>
      <c r="AF104" s="117" t="s">
        <v>934</v>
      </c>
      <c r="AG104" s="117" t="s">
        <v>934</v>
      </c>
      <c r="AH104" s="117" t="s">
        <v>934</v>
      </c>
      <c r="AI104" s="117" t="s">
        <v>934</v>
      </c>
      <c r="AJ104" s="117" t="s">
        <v>943</v>
      </c>
      <c r="AK104" s="117" t="s">
        <v>1503</v>
      </c>
      <c r="AL104" s="117" t="s">
        <v>943</v>
      </c>
      <c r="AM104" s="117" t="s">
        <v>1088</v>
      </c>
      <c r="AN104" s="117" t="s">
        <v>932</v>
      </c>
      <c r="AO104" s="124"/>
      <c r="AP104" s="124"/>
      <c r="AQ104" s="124"/>
      <c r="AR104" s="124"/>
      <c r="AS104" s="124"/>
      <c r="AT104" s="124"/>
      <c r="AU104" s="124"/>
      <c r="AV104" s="124"/>
      <c r="AW104" s="124"/>
      <c r="AX104" s="124"/>
      <c r="AY104" s="124"/>
      <c r="AZ104" s="124"/>
      <c r="BA104" s="124"/>
      <c r="BB104" s="124"/>
      <c r="BC104" s="124"/>
      <c r="BD104" s="124"/>
      <c r="BE104" s="124"/>
      <c r="BF104" s="124"/>
      <c r="BG104" s="124"/>
      <c r="BH104" s="124"/>
      <c r="BI104" s="124"/>
      <c r="BJ104" s="124"/>
      <c r="BK104" s="124"/>
      <c r="BL104" s="124"/>
      <c r="BM104" s="124"/>
      <c r="BN104" s="124"/>
      <c r="BO104" s="124"/>
      <c r="BP104" s="124"/>
      <c r="BQ104" s="124"/>
      <c r="BR104" s="124"/>
      <c r="BS104" s="124"/>
      <c r="BT104" s="124"/>
      <c r="BU104" s="124"/>
      <c r="BV104" s="124"/>
      <c r="BW104" s="124"/>
      <c r="BX104" s="124"/>
      <c r="BY104" s="124"/>
      <c r="BZ104" s="124"/>
      <c r="CA104" s="124"/>
      <c r="CB104" s="124"/>
      <c r="CC104" s="124"/>
      <c r="CD104" s="124"/>
      <c r="CE104" s="124"/>
      <c r="CF104" s="124"/>
      <c r="CG104" s="124"/>
      <c r="CH104" s="124"/>
      <c r="CI104" s="124"/>
    </row>
    <row r="105" spans="1:93" s="117" customFormat="1" ht="25.5">
      <c r="A105" s="114">
        <v>41737.695601851854</v>
      </c>
      <c r="B105" s="115">
        <v>41737.695601851854</v>
      </c>
      <c r="C105" s="114">
        <v>41737.697256944448</v>
      </c>
      <c r="D105" s="115">
        <v>41737.697256944448</v>
      </c>
      <c r="E105" s="116" t="s">
        <v>1290</v>
      </c>
      <c r="F105" s="122" t="s">
        <v>1494</v>
      </c>
      <c r="G105" s="117" t="s">
        <v>1502</v>
      </c>
      <c r="H105" s="117">
        <v>9895511178</v>
      </c>
      <c r="I105" s="117">
        <v>553</v>
      </c>
      <c r="J105" s="118" t="s">
        <v>1023</v>
      </c>
      <c r="K105" s="117" t="s">
        <v>1006</v>
      </c>
      <c r="L105" s="117" t="s">
        <v>966</v>
      </c>
      <c r="M105" s="117" t="s">
        <v>932</v>
      </c>
      <c r="N105" s="117" t="s">
        <v>932</v>
      </c>
      <c r="O105" s="117" t="s">
        <v>932</v>
      </c>
      <c r="P105" s="117" t="s">
        <v>933</v>
      </c>
      <c r="Q105" s="117" t="s">
        <v>934</v>
      </c>
      <c r="R105" s="117" t="s">
        <v>934</v>
      </c>
      <c r="S105" s="117" t="s">
        <v>934</v>
      </c>
      <c r="T105" s="119" t="s">
        <v>934</v>
      </c>
      <c r="U105" s="117" t="s">
        <v>932</v>
      </c>
      <c r="V105" s="117" t="s">
        <v>932</v>
      </c>
      <c r="W105" s="117" t="s">
        <v>932</v>
      </c>
      <c r="X105" s="117" t="s">
        <v>934</v>
      </c>
      <c r="Y105" s="117" t="s">
        <v>934</v>
      </c>
      <c r="Z105" s="117" t="s">
        <v>934</v>
      </c>
      <c r="AA105" s="117" t="s">
        <v>934</v>
      </c>
      <c r="AB105" s="117" t="s">
        <v>934</v>
      </c>
      <c r="AC105" s="117" t="s">
        <v>934</v>
      </c>
      <c r="AD105" s="117" t="s">
        <v>934</v>
      </c>
      <c r="AE105" s="117" t="s">
        <v>934</v>
      </c>
      <c r="AF105" s="117" t="s">
        <v>934</v>
      </c>
      <c r="AG105" s="117" t="s">
        <v>934</v>
      </c>
      <c r="AH105" s="117" t="s">
        <v>934</v>
      </c>
      <c r="AI105" s="117" t="s">
        <v>934</v>
      </c>
      <c r="AJ105" s="117" t="s">
        <v>943</v>
      </c>
      <c r="AK105" s="117" t="s">
        <v>1176</v>
      </c>
      <c r="AL105" s="117" t="s">
        <v>943</v>
      </c>
      <c r="AM105" s="117" t="s">
        <v>1088</v>
      </c>
      <c r="AN105" s="117" t="s">
        <v>932</v>
      </c>
      <c r="AO105" s="124"/>
      <c r="AP105" s="117" t="s">
        <v>1080</v>
      </c>
      <c r="AQ105" s="117" t="s">
        <v>1265</v>
      </c>
      <c r="AR105" s="117" t="s">
        <v>943</v>
      </c>
      <c r="AS105" s="117" t="s">
        <v>943</v>
      </c>
      <c r="AT105" s="117" t="s">
        <v>933</v>
      </c>
      <c r="AU105" s="117" t="s">
        <v>932</v>
      </c>
      <c r="AW105" s="117" t="s">
        <v>944</v>
      </c>
      <c r="AY105" s="117" t="s">
        <v>944</v>
      </c>
      <c r="AZ105" s="117">
        <v>0.2</v>
      </c>
      <c r="BA105" s="117" t="s">
        <v>932</v>
      </c>
      <c r="BB105" s="117" t="s">
        <v>932</v>
      </c>
      <c r="BC105" s="117" t="s">
        <v>932</v>
      </c>
      <c r="BD105" s="117" t="s">
        <v>932</v>
      </c>
      <c r="BE105" s="117" t="s">
        <v>932</v>
      </c>
      <c r="BF105" s="117">
        <v>1</v>
      </c>
      <c r="BG105" s="117" t="s">
        <v>932</v>
      </c>
      <c r="BH105" s="117">
        <v>15</v>
      </c>
      <c r="BI105" s="117" t="s">
        <v>1291</v>
      </c>
      <c r="BJ105" s="117" t="s">
        <v>932</v>
      </c>
      <c r="BK105" s="117" t="s">
        <v>932</v>
      </c>
      <c r="BL105" s="117">
        <v>1</v>
      </c>
      <c r="BM105" s="117" t="s">
        <v>932</v>
      </c>
      <c r="BO105" s="117" t="s">
        <v>932</v>
      </c>
      <c r="BP105" s="117">
        <v>0</v>
      </c>
      <c r="BQ105" s="117" t="s">
        <v>932</v>
      </c>
      <c r="BR105" s="117">
        <v>400</v>
      </c>
      <c r="BS105" s="117">
        <v>400</v>
      </c>
      <c r="BT105" s="117" t="s">
        <v>946</v>
      </c>
      <c r="BU105" s="117" t="s">
        <v>932</v>
      </c>
      <c r="BV105" s="117">
        <v>553</v>
      </c>
      <c r="BW105" s="117" t="s">
        <v>1292</v>
      </c>
      <c r="BX105" s="117">
        <v>6.05</v>
      </c>
      <c r="BY105" s="117" t="s">
        <v>190</v>
      </c>
      <c r="CB105" s="117" t="s">
        <v>932</v>
      </c>
      <c r="CC105" s="117" t="s">
        <v>1443</v>
      </c>
      <c r="CD105" s="117" t="s">
        <v>932</v>
      </c>
      <c r="CE105" s="117" t="s">
        <v>932</v>
      </c>
      <c r="CF105" s="117">
        <v>30</v>
      </c>
      <c r="CG105" s="117">
        <v>0</v>
      </c>
      <c r="CH105" s="117" t="s">
        <v>932</v>
      </c>
      <c r="CI105" s="117" t="s">
        <v>932</v>
      </c>
    </row>
    <row r="106" spans="1:93" s="117" customFormat="1" ht="25.5">
      <c r="A106" s="114">
        <v>41737.697743055556</v>
      </c>
      <c r="B106" s="115">
        <v>41737.697743055556</v>
      </c>
      <c r="C106" s="114">
        <v>41737.699652777781</v>
      </c>
      <c r="D106" s="115">
        <v>41737.699652777781</v>
      </c>
      <c r="E106" s="116" t="s">
        <v>1504</v>
      </c>
      <c r="F106" s="122" t="s">
        <v>1253</v>
      </c>
      <c r="G106" s="117" t="s">
        <v>1254</v>
      </c>
      <c r="H106" s="117">
        <v>9895503661</v>
      </c>
      <c r="I106" s="117">
        <v>627</v>
      </c>
      <c r="J106" s="118" t="s">
        <v>998</v>
      </c>
      <c r="K106" s="117" t="s">
        <v>1263</v>
      </c>
      <c r="L106" s="117" t="s">
        <v>966</v>
      </c>
      <c r="M106" s="117" t="s">
        <v>932</v>
      </c>
      <c r="N106" s="117" t="s">
        <v>932</v>
      </c>
      <c r="O106" s="117" t="s">
        <v>933</v>
      </c>
      <c r="P106" s="117" t="s">
        <v>933</v>
      </c>
      <c r="Q106" s="117" t="s">
        <v>934</v>
      </c>
      <c r="R106" s="117" t="s">
        <v>934</v>
      </c>
      <c r="S106" s="117" t="s">
        <v>934</v>
      </c>
      <c r="T106" s="119" t="s">
        <v>932</v>
      </c>
      <c r="U106" s="117" t="s">
        <v>932</v>
      </c>
      <c r="V106" s="117" t="s">
        <v>932</v>
      </c>
      <c r="W106" s="117" t="s">
        <v>932</v>
      </c>
      <c r="X106" s="117" t="s">
        <v>934</v>
      </c>
      <c r="Y106" s="117" t="s">
        <v>934</v>
      </c>
      <c r="Z106" s="117" t="s">
        <v>934</v>
      </c>
      <c r="AA106" s="117" t="s">
        <v>934</v>
      </c>
      <c r="AB106" s="117" t="s">
        <v>934</v>
      </c>
      <c r="AC106" s="117" t="s">
        <v>934</v>
      </c>
      <c r="AD106" s="117" t="s">
        <v>934</v>
      </c>
      <c r="AE106" s="117" t="s">
        <v>934</v>
      </c>
      <c r="AF106" s="117" t="s">
        <v>934</v>
      </c>
      <c r="AG106" s="117" t="s">
        <v>934</v>
      </c>
      <c r="AH106" s="117" t="s">
        <v>934</v>
      </c>
      <c r="AI106" s="117" t="s">
        <v>934</v>
      </c>
      <c r="AJ106" s="117" t="s">
        <v>943</v>
      </c>
      <c r="AK106" s="117" t="s">
        <v>1505</v>
      </c>
      <c r="AL106" s="117" t="s">
        <v>943</v>
      </c>
      <c r="AM106" s="117" t="s">
        <v>1088</v>
      </c>
      <c r="AN106" s="117" t="s">
        <v>932</v>
      </c>
      <c r="AO106" s="117" t="s">
        <v>1506</v>
      </c>
      <c r="AP106" s="124"/>
      <c r="AQ106" s="124"/>
      <c r="AR106" s="124"/>
      <c r="AS106" s="124"/>
      <c r="AT106" s="124"/>
      <c r="AU106" s="124"/>
      <c r="AV106" s="124"/>
      <c r="AW106" s="124"/>
      <c r="AX106" s="124"/>
      <c r="AY106" s="124"/>
      <c r="AZ106" s="124"/>
      <c r="BA106" s="124"/>
      <c r="BB106" s="124"/>
      <c r="BC106" s="124"/>
      <c r="BD106" s="124"/>
      <c r="BE106" s="124"/>
      <c r="BF106" s="124"/>
      <c r="BG106" s="124"/>
      <c r="BH106" s="124"/>
      <c r="BI106" s="124"/>
      <c r="BJ106" s="124"/>
      <c r="BK106" s="124"/>
      <c r="BL106" s="124"/>
      <c r="BM106" s="124"/>
      <c r="BN106" s="124"/>
      <c r="BO106" s="124"/>
      <c r="BP106" s="124"/>
      <c r="BQ106" s="124"/>
      <c r="BR106" s="124"/>
      <c r="BS106" s="124"/>
      <c r="BT106" s="124"/>
      <c r="BU106" s="124"/>
      <c r="BV106" s="124"/>
      <c r="BW106" s="124"/>
      <c r="BX106" s="124"/>
      <c r="BY106" s="124"/>
      <c r="BZ106" s="124"/>
      <c r="CA106" s="124"/>
      <c r="CB106" s="124"/>
      <c r="CC106" s="124"/>
      <c r="CD106" s="124"/>
      <c r="CE106" s="124"/>
      <c r="CF106" s="124"/>
      <c r="CG106" s="124"/>
      <c r="CH106" s="124"/>
      <c r="CI106" s="124"/>
    </row>
    <row r="107" spans="1:93" s="117" customFormat="1" ht="25.5">
      <c r="A107" s="114">
        <v>41737.700150462966</v>
      </c>
      <c r="B107" s="115">
        <v>41737.700150462966</v>
      </c>
      <c r="C107" s="114">
        <v>41737.701643518521</v>
      </c>
      <c r="D107" s="115">
        <v>41737.701643518521</v>
      </c>
      <c r="E107" s="116" t="s">
        <v>1252</v>
      </c>
      <c r="F107" s="122" t="s">
        <v>1253</v>
      </c>
      <c r="G107" s="117" t="s">
        <v>1254</v>
      </c>
      <c r="H107" s="117">
        <v>9895503661</v>
      </c>
      <c r="I107" s="117">
        <v>626</v>
      </c>
      <c r="J107" s="118" t="s">
        <v>1067</v>
      </c>
      <c r="K107" s="117" t="s">
        <v>977</v>
      </c>
      <c r="L107" s="117" t="s">
        <v>966</v>
      </c>
      <c r="M107" s="117" t="s">
        <v>932</v>
      </c>
      <c r="N107" s="117" t="s">
        <v>932</v>
      </c>
      <c r="O107" s="117" t="s">
        <v>932</v>
      </c>
      <c r="P107" s="117" t="s">
        <v>934</v>
      </c>
      <c r="Q107" s="117" t="s">
        <v>934</v>
      </c>
      <c r="R107" s="117" t="s">
        <v>934</v>
      </c>
      <c r="S107" s="117" t="s">
        <v>934</v>
      </c>
      <c r="T107" s="119" t="s">
        <v>934</v>
      </c>
      <c r="U107" s="117" t="s">
        <v>932</v>
      </c>
      <c r="V107" s="117" t="s">
        <v>932</v>
      </c>
      <c r="W107" s="117" t="s">
        <v>932</v>
      </c>
      <c r="X107" s="117" t="s">
        <v>934</v>
      </c>
      <c r="Y107" s="117" t="s">
        <v>934</v>
      </c>
      <c r="Z107" s="117" t="s">
        <v>934</v>
      </c>
      <c r="AA107" s="117" t="s">
        <v>934</v>
      </c>
      <c r="AB107" s="117" t="s">
        <v>934</v>
      </c>
      <c r="AC107" s="117" t="s">
        <v>934</v>
      </c>
      <c r="AD107" s="117" t="s">
        <v>934</v>
      </c>
      <c r="AE107" s="117" t="s">
        <v>934</v>
      </c>
      <c r="AF107" s="117" t="s">
        <v>934</v>
      </c>
      <c r="AG107" s="117" t="s">
        <v>934</v>
      </c>
      <c r="AH107" s="117" t="s">
        <v>934</v>
      </c>
      <c r="AI107" s="117" t="s">
        <v>934</v>
      </c>
      <c r="AJ107" s="117" t="s">
        <v>943</v>
      </c>
      <c r="AK107" s="117" t="s">
        <v>1507</v>
      </c>
      <c r="AL107" s="117" t="s">
        <v>943</v>
      </c>
      <c r="AM107" s="117" t="s">
        <v>1088</v>
      </c>
      <c r="AN107" s="117" t="s">
        <v>932</v>
      </c>
      <c r="AO107" s="124"/>
      <c r="AP107" s="117" t="s">
        <v>1080</v>
      </c>
      <c r="AQ107" s="117" t="s">
        <v>1255</v>
      </c>
      <c r="AR107" s="117" t="s">
        <v>943</v>
      </c>
      <c r="AS107" s="117" t="s">
        <v>943</v>
      </c>
      <c r="AT107" s="117" t="s">
        <v>933</v>
      </c>
      <c r="AU107" s="117" t="s">
        <v>932</v>
      </c>
      <c r="AV107" s="117" t="s">
        <v>933</v>
      </c>
      <c r="AX107" s="117" t="s">
        <v>932</v>
      </c>
      <c r="AY107" s="117" t="s">
        <v>944</v>
      </c>
      <c r="AZ107" s="117">
        <v>8.3000000000000007</v>
      </c>
      <c r="BA107" s="117" t="s">
        <v>932</v>
      </c>
      <c r="BB107" s="117" t="s">
        <v>932</v>
      </c>
      <c r="BC107" s="117" t="s">
        <v>932</v>
      </c>
      <c r="BD107" s="117" t="s">
        <v>932</v>
      </c>
      <c r="BE107" s="117" t="s">
        <v>932</v>
      </c>
      <c r="BF107" s="117">
        <v>0</v>
      </c>
      <c r="BH107" s="117">
        <v>15</v>
      </c>
      <c r="BI107" s="117" t="s">
        <v>1256</v>
      </c>
      <c r="BJ107" s="117" t="s">
        <v>932</v>
      </c>
      <c r="BK107" s="117" t="s">
        <v>932</v>
      </c>
      <c r="BL107" s="117">
        <v>1</v>
      </c>
      <c r="BM107" s="117" t="s">
        <v>932</v>
      </c>
      <c r="BO107" s="117" t="s">
        <v>932</v>
      </c>
      <c r="BP107" s="117">
        <v>0</v>
      </c>
      <c r="BQ107" s="117" t="s">
        <v>933</v>
      </c>
      <c r="BS107" s="117">
        <v>100</v>
      </c>
      <c r="BT107" s="117" t="s">
        <v>946</v>
      </c>
      <c r="BU107" s="117" t="s">
        <v>932</v>
      </c>
      <c r="BV107" s="117">
        <v>626</v>
      </c>
      <c r="BW107" s="117" t="s">
        <v>1257</v>
      </c>
      <c r="CB107" s="117" t="s">
        <v>932</v>
      </c>
      <c r="CC107" s="117" t="s">
        <v>1443</v>
      </c>
      <c r="CD107" s="117" t="s">
        <v>932</v>
      </c>
      <c r="CE107" s="117" t="s">
        <v>932</v>
      </c>
      <c r="CF107" s="117">
        <v>30</v>
      </c>
      <c r="CG107" s="117">
        <v>0</v>
      </c>
      <c r="CH107" s="117" t="s">
        <v>932</v>
      </c>
      <c r="CI107" s="117" t="s">
        <v>932</v>
      </c>
    </row>
    <row r="108" spans="1:93" s="117" customFormat="1" ht="25.5">
      <c r="A108" s="114">
        <v>41737.703067129631</v>
      </c>
      <c r="B108" s="115">
        <v>41737.703067129631</v>
      </c>
      <c r="C108" s="114">
        <v>41737.703969907408</v>
      </c>
      <c r="D108" s="115">
        <v>41737.703969907408</v>
      </c>
      <c r="E108" s="116" t="s">
        <v>1258</v>
      </c>
      <c r="F108" s="122" t="s">
        <v>1253</v>
      </c>
      <c r="G108" s="117" t="s">
        <v>1254</v>
      </c>
      <c r="H108" s="117">
        <v>9895503661</v>
      </c>
      <c r="I108" s="117">
        <v>624</v>
      </c>
      <c r="J108" s="118" t="s">
        <v>1067</v>
      </c>
      <c r="K108" s="117" t="s">
        <v>1139</v>
      </c>
      <c r="L108" s="117" t="s">
        <v>966</v>
      </c>
      <c r="M108" s="117" t="s">
        <v>932</v>
      </c>
      <c r="N108" s="117" t="s">
        <v>932</v>
      </c>
      <c r="O108" s="117" t="s">
        <v>932</v>
      </c>
      <c r="P108" s="117" t="s">
        <v>932</v>
      </c>
      <c r="Q108" s="117" t="s">
        <v>934</v>
      </c>
      <c r="R108" s="117" t="s">
        <v>934</v>
      </c>
      <c r="S108" s="117" t="s">
        <v>934</v>
      </c>
      <c r="T108" s="119" t="s">
        <v>932</v>
      </c>
      <c r="U108" s="117" t="s">
        <v>932</v>
      </c>
      <c r="V108" s="117" t="s">
        <v>932</v>
      </c>
      <c r="W108" s="117" t="s">
        <v>932</v>
      </c>
      <c r="X108" s="117" t="s">
        <v>934</v>
      </c>
      <c r="Y108" s="117" t="s">
        <v>934</v>
      </c>
      <c r="Z108" s="117" t="s">
        <v>934</v>
      </c>
      <c r="AA108" s="117" t="s">
        <v>934</v>
      </c>
      <c r="AB108" s="117" t="s">
        <v>934</v>
      </c>
      <c r="AC108" s="117" t="s">
        <v>934</v>
      </c>
      <c r="AD108" s="117" t="s">
        <v>934</v>
      </c>
      <c r="AE108" s="117" t="s">
        <v>934</v>
      </c>
      <c r="AF108" s="117" t="s">
        <v>934</v>
      </c>
      <c r="AG108" s="117" t="s">
        <v>934</v>
      </c>
      <c r="AH108" s="117" t="s">
        <v>934</v>
      </c>
      <c r="AI108" s="117" t="s">
        <v>934</v>
      </c>
      <c r="AJ108" s="117" t="s">
        <v>1037</v>
      </c>
      <c r="AK108" s="117" t="s">
        <v>1507</v>
      </c>
      <c r="AL108" s="117" t="s">
        <v>943</v>
      </c>
      <c r="AM108" s="117" t="s">
        <v>1088</v>
      </c>
      <c r="AN108" s="117" t="s">
        <v>932</v>
      </c>
      <c r="AO108" s="124"/>
      <c r="AP108" s="117" t="s">
        <v>981</v>
      </c>
      <c r="AQ108" s="117" t="s">
        <v>1255</v>
      </c>
      <c r="AR108" s="117" t="s">
        <v>943</v>
      </c>
      <c r="AS108" s="117" t="s">
        <v>943</v>
      </c>
      <c r="AT108" s="117" t="s">
        <v>933</v>
      </c>
      <c r="AU108" s="117" t="s">
        <v>932</v>
      </c>
      <c r="AV108" s="117" t="s">
        <v>933</v>
      </c>
      <c r="AX108" s="117" t="s">
        <v>932</v>
      </c>
      <c r="AY108" s="117">
        <v>0.9</v>
      </c>
      <c r="AZ108" s="117">
        <v>0.9</v>
      </c>
      <c r="BA108" s="117" t="s">
        <v>932</v>
      </c>
      <c r="BB108" s="117" t="s">
        <v>932</v>
      </c>
      <c r="BC108" s="117" t="s">
        <v>932</v>
      </c>
      <c r="BD108" s="117" t="s">
        <v>932</v>
      </c>
      <c r="BE108" s="117" t="s">
        <v>932</v>
      </c>
      <c r="BF108" s="117">
        <v>0</v>
      </c>
      <c r="BG108" s="117" t="s">
        <v>932</v>
      </c>
      <c r="BH108" s="117">
        <v>15</v>
      </c>
      <c r="BI108" s="117" t="s">
        <v>1259</v>
      </c>
      <c r="BJ108" s="117" t="s">
        <v>932</v>
      </c>
      <c r="BK108" s="117" t="s">
        <v>932</v>
      </c>
      <c r="BL108" s="117">
        <v>1</v>
      </c>
      <c r="BM108" s="117" t="s">
        <v>932</v>
      </c>
      <c r="BN108" s="117" t="s">
        <v>932</v>
      </c>
      <c r="BO108" s="117" t="s">
        <v>932</v>
      </c>
      <c r="BP108" s="117">
        <v>1</v>
      </c>
      <c r="BQ108" s="117" t="s">
        <v>932</v>
      </c>
      <c r="BS108" s="117">
        <v>100</v>
      </c>
      <c r="BT108" s="117" t="s">
        <v>1260</v>
      </c>
      <c r="BU108" s="117" t="s">
        <v>932</v>
      </c>
      <c r="BV108" s="117">
        <v>624</v>
      </c>
      <c r="BW108" s="117" t="s">
        <v>1261</v>
      </c>
      <c r="BX108" s="117">
        <v>6.05</v>
      </c>
      <c r="BY108" s="117" t="s">
        <v>190</v>
      </c>
      <c r="CB108" s="117" t="s">
        <v>932</v>
      </c>
      <c r="CC108" s="117" t="s">
        <v>1443</v>
      </c>
      <c r="CD108" s="117" t="s">
        <v>932</v>
      </c>
      <c r="CE108" s="117" t="s">
        <v>932</v>
      </c>
      <c r="CF108" s="117">
        <v>30</v>
      </c>
      <c r="CG108" s="117">
        <v>1</v>
      </c>
      <c r="CH108" s="117" t="s">
        <v>932</v>
      </c>
      <c r="CI108" s="117" t="s">
        <v>945</v>
      </c>
    </row>
    <row r="109" spans="1:93" s="117" customFormat="1" ht="25.5">
      <c r="A109" s="114">
        <v>41738.376759259256</v>
      </c>
      <c r="B109" s="115">
        <v>41738.376759259256</v>
      </c>
      <c r="C109" s="114">
        <v>41738.381053240744</v>
      </c>
      <c r="D109" s="115">
        <v>41738.381053240744</v>
      </c>
      <c r="E109" s="116" t="s">
        <v>1508</v>
      </c>
      <c r="F109" s="122" t="s">
        <v>1509</v>
      </c>
      <c r="G109" s="117" t="s">
        <v>1510</v>
      </c>
      <c r="H109" s="117">
        <v>9898745678</v>
      </c>
      <c r="I109" s="117">
        <v>595</v>
      </c>
      <c r="J109" s="118" t="s">
        <v>964</v>
      </c>
      <c r="K109" s="117" t="s">
        <v>1139</v>
      </c>
      <c r="L109" s="117" t="s">
        <v>966</v>
      </c>
      <c r="M109" s="117" t="s">
        <v>932</v>
      </c>
      <c r="N109" s="117" t="s">
        <v>932</v>
      </c>
      <c r="O109" s="117" t="s">
        <v>932</v>
      </c>
      <c r="P109" s="117" t="s">
        <v>934</v>
      </c>
      <c r="Q109" s="117" t="s">
        <v>934</v>
      </c>
      <c r="R109" s="117" t="s">
        <v>934</v>
      </c>
      <c r="S109" s="117" t="s">
        <v>934</v>
      </c>
      <c r="T109" s="119" t="s">
        <v>934</v>
      </c>
      <c r="U109" s="117" t="s">
        <v>932</v>
      </c>
      <c r="V109" s="117" t="s">
        <v>932</v>
      </c>
      <c r="W109" s="117" t="s">
        <v>932</v>
      </c>
      <c r="X109" s="117" t="s">
        <v>934</v>
      </c>
      <c r="Y109" s="117" t="s">
        <v>934</v>
      </c>
      <c r="Z109" s="117" t="s">
        <v>934</v>
      </c>
      <c r="AA109" s="117" t="s">
        <v>934</v>
      </c>
      <c r="AB109" s="117" t="s">
        <v>934</v>
      </c>
      <c r="AC109" s="117" t="s">
        <v>934</v>
      </c>
      <c r="AD109" s="117" t="s">
        <v>934</v>
      </c>
      <c r="AE109" s="117" t="s">
        <v>934</v>
      </c>
      <c r="AF109" s="117" t="s">
        <v>934</v>
      </c>
      <c r="AG109" s="117" t="s">
        <v>934</v>
      </c>
      <c r="AH109" s="117" t="s">
        <v>934</v>
      </c>
      <c r="AI109" s="117" t="s">
        <v>934</v>
      </c>
      <c r="AJ109" s="117" t="s">
        <v>943</v>
      </c>
      <c r="AK109" s="117" t="s">
        <v>1511</v>
      </c>
      <c r="AL109" s="117" t="s">
        <v>943</v>
      </c>
      <c r="AM109" s="117" t="s">
        <v>1088</v>
      </c>
      <c r="AN109" s="117" t="s">
        <v>932</v>
      </c>
      <c r="AO109" s="124"/>
      <c r="AP109" s="124"/>
      <c r="AQ109" s="124"/>
      <c r="AR109" s="124"/>
      <c r="AS109" s="124"/>
      <c r="AT109" s="124"/>
      <c r="AU109" s="124"/>
      <c r="AV109" s="124"/>
      <c r="AW109" s="124"/>
      <c r="AX109" s="124"/>
      <c r="AY109" s="124"/>
      <c r="AZ109" s="124"/>
      <c r="BA109" s="124"/>
      <c r="BB109" s="124"/>
      <c r="BC109" s="124"/>
      <c r="BD109" s="124"/>
      <c r="BE109" s="124"/>
      <c r="BF109" s="124"/>
      <c r="BG109" s="124"/>
      <c r="BH109" s="124"/>
      <c r="BI109" s="124"/>
      <c r="BJ109" s="124"/>
      <c r="BK109" s="124"/>
      <c r="BL109" s="124"/>
      <c r="BM109" s="124"/>
      <c r="BN109" s="124"/>
      <c r="BO109" s="124"/>
      <c r="BP109" s="124"/>
      <c r="BQ109" s="124"/>
      <c r="BR109" s="124"/>
      <c r="BS109" s="124"/>
      <c r="BT109" s="124"/>
      <c r="BU109" s="124"/>
      <c r="BV109" s="124"/>
      <c r="BW109" s="124"/>
      <c r="BX109" s="124"/>
      <c r="BY109" s="124"/>
      <c r="BZ109" s="124"/>
      <c r="CA109" s="124"/>
      <c r="CB109" s="124"/>
      <c r="CC109" s="124"/>
      <c r="CD109" s="124"/>
      <c r="CE109" s="124"/>
      <c r="CF109" s="124"/>
      <c r="CG109" s="124"/>
      <c r="CH109" s="124"/>
      <c r="CI109" s="124"/>
    </row>
    <row r="110" spans="1:93" s="117" customFormat="1" ht="25.5">
      <c r="A110" s="114">
        <v>41738.397349537037</v>
      </c>
      <c r="B110" s="115">
        <v>41738.397349537037</v>
      </c>
      <c r="C110" s="114">
        <v>41738.399895833332</v>
      </c>
      <c r="D110" s="115">
        <v>41738.399895833332</v>
      </c>
      <c r="E110" s="116" t="s">
        <v>1512</v>
      </c>
      <c r="F110" s="122" t="s">
        <v>1513</v>
      </c>
      <c r="G110" s="117" t="s">
        <v>1510</v>
      </c>
      <c r="H110" s="117">
        <v>9898745678</v>
      </c>
      <c r="I110" s="117">
        <v>599</v>
      </c>
      <c r="J110" s="118" t="s">
        <v>1005</v>
      </c>
      <c r="K110" s="117" t="s">
        <v>1514</v>
      </c>
      <c r="L110" s="117" t="s">
        <v>931</v>
      </c>
      <c r="M110" s="117" t="s">
        <v>932</v>
      </c>
      <c r="N110" s="117" t="s">
        <v>932</v>
      </c>
      <c r="O110" s="117" t="s">
        <v>1190</v>
      </c>
      <c r="P110" s="117" t="s">
        <v>932</v>
      </c>
      <c r="Q110" s="117" t="s">
        <v>934</v>
      </c>
      <c r="R110" s="117" t="s">
        <v>932</v>
      </c>
      <c r="S110" s="117" t="s">
        <v>932</v>
      </c>
      <c r="T110" s="119" t="s">
        <v>932</v>
      </c>
      <c r="U110" s="117" t="s">
        <v>932</v>
      </c>
      <c r="V110" s="117" t="s">
        <v>932</v>
      </c>
      <c r="W110" s="117" t="s">
        <v>932</v>
      </c>
      <c r="X110" s="117" t="s">
        <v>934</v>
      </c>
      <c r="Y110" s="117" t="s">
        <v>934</v>
      </c>
      <c r="Z110" s="117" t="s">
        <v>934</v>
      </c>
      <c r="AA110" s="117" t="s">
        <v>934</v>
      </c>
      <c r="AB110" s="117" t="s">
        <v>934</v>
      </c>
      <c r="AC110" s="117" t="s">
        <v>934</v>
      </c>
      <c r="AD110" s="117" t="s">
        <v>934</v>
      </c>
      <c r="AE110" s="117" t="s">
        <v>934</v>
      </c>
      <c r="AF110" s="117" t="s">
        <v>934</v>
      </c>
      <c r="AG110" s="117" t="s">
        <v>934</v>
      </c>
      <c r="AH110" s="117" t="s">
        <v>934</v>
      </c>
      <c r="AI110" s="117" t="s">
        <v>934</v>
      </c>
      <c r="AJ110" s="117" t="s">
        <v>943</v>
      </c>
      <c r="AK110" s="117" t="s">
        <v>1063</v>
      </c>
      <c r="AL110" s="117" t="s">
        <v>943</v>
      </c>
      <c r="AM110" s="117" t="s">
        <v>1515</v>
      </c>
      <c r="AN110" s="117" t="s">
        <v>933</v>
      </c>
      <c r="AO110" s="117" t="s">
        <v>1516</v>
      </c>
      <c r="AP110" s="124"/>
      <c r="AQ110" s="124"/>
      <c r="AR110" s="124"/>
      <c r="AS110" s="124"/>
      <c r="AT110" s="124"/>
      <c r="AU110" s="124"/>
      <c r="AV110" s="124"/>
      <c r="AW110" s="124"/>
      <c r="AX110" s="124"/>
      <c r="AY110" s="124"/>
      <c r="AZ110" s="124"/>
      <c r="BA110" s="124"/>
      <c r="BB110" s="124"/>
      <c r="BC110" s="124"/>
      <c r="BD110" s="124"/>
      <c r="BE110" s="124"/>
      <c r="BF110" s="124"/>
      <c r="BG110" s="124"/>
      <c r="BH110" s="124"/>
      <c r="BI110" s="124"/>
      <c r="BJ110" s="124"/>
      <c r="BK110" s="124"/>
      <c r="BL110" s="124"/>
      <c r="BM110" s="124"/>
      <c r="BN110" s="124"/>
      <c r="BO110" s="124"/>
      <c r="BP110" s="124"/>
      <c r="BQ110" s="124"/>
      <c r="BR110" s="124"/>
      <c r="BS110" s="124"/>
      <c r="BT110" s="124"/>
      <c r="BU110" s="124"/>
      <c r="BV110" s="124"/>
      <c r="BW110" s="124"/>
      <c r="BX110" s="124"/>
      <c r="BY110" s="124"/>
      <c r="BZ110" s="124"/>
      <c r="CA110" s="124"/>
      <c r="CB110" s="124"/>
      <c r="CC110" s="124"/>
      <c r="CD110" s="124"/>
      <c r="CE110" s="124"/>
      <c r="CF110" s="124"/>
      <c r="CG110" s="124"/>
      <c r="CH110" s="124"/>
      <c r="CI110" s="124"/>
    </row>
    <row r="111" spans="1:93" s="117" customFormat="1" ht="25.5">
      <c r="A111" s="114">
        <v>41738.403900462959</v>
      </c>
      <c r="B111" s="115">
        <v>41738.403900462959</v>
      </c>
      <c r="C111" s="114">
        <v>41738.410925925928</v>
      </c>
      <c r="D111" s="115">
        <v>41738.410925925928</v>
      </c>
      <c r="E111" s="116" t="s">
        <v>1517</v>
      </c>
      <c r="F111" s="122" t="s">
        <v>1513</v>
      </c>
      <c r="G111" s="117" t="s">
        <v>1510</v>
      </c>
      <c r="H111" s="117">
        <v>9898745678</v>
      </c>
      <c r="I111" s="117">
        <v>598</v>
      </c>
      <c r="J111" s="118" t="s">
        <v>998</v>
      </c>
      <c r="K111" s="117" t="s">
        <v>1514</v>
      </c>
      <c r="L111" s="117" t="s">
        <v>931</v>
      </c>
      <c r="M111" s="117" t="s">
        <v>932</v>
      </c>
      <c r="N111" s="117" t="s">
        <v>932</v>
      </c>
      <c r="O111" s="117" t="s">
        <v>932</v>
      </c>
      <c r="P111" s="117" t="s">
        <v>932</v>
      </c>
      <c r="Q111" s="117" t="s">
        <v>934</v>
      </c>
      <c r="R111" s="117" t="s">
        <v>934</v>
      </c>
      <c r="S111" s="117" t="s">
        <v>934</v>
      </c>
      <c r="T111" s="119" t="s">
        <v>932</v>
      </c>
      <c r="U111" s="117" t="s">
        <v>932</v>
      </c>
      <c r="V111" s="117" t="s">
        <v>932</v>
      </c>
      <c r="W111" s="117" t="s">
        <v>932</v>
      </c>
      <c r="X111" s="117" t="s">
        <v>934</v>
      </c>
      <c r="Y111" s="117" t="s">
        <v>934</v>
      </c>
      <c r="Z111" s="117" t="s">
        <v>934</v>
      </c>
      <c r="AA111" s="117" t="s">
        <v>934</v>
      </c>
      <c r="AB111" s="117" t="s">
        <v>934</v>
      </c>
      <c r="AC111" s="117" t="s">
        <v>934</v>
      </c>
      <c r="AD111" s="117" t="s">
        <v>934</v>
      </c>
      <c r="AE111" s="117" t="s">
        <v>934</v>
      </c>
      <c r="AF111" s="117" t="s">
        <v>934</v>
      </c>
      <c r="AG111" s="117" t="s">
        <v>934</v>
      </c>
      <c r="AH111" s="117" t="s">
        <v>934</v>
      </c>
      <c r="AI111" s="117" t="s">
        <v>934</v>
      </c>
      <c r="AJ111" s="117" t="s">
        <v>943</v>
      </c>
      <c r="AK111" s="117" t="s">
        <v>1135</v>
      </c>
      <c r="AL111" s="117" t="s">
        <v>943</v>
      </c>
      <c r="AM111" s="117" t="s">
        <v>1518</v>
      </c>
      <c r="AN111" s="117" t="s">
        <v>933</v>
      </c>
      <c r="AO111" s="117" t="s">
        <v>1519</v>
      </c>
      <c r="AP111" s="124"/>
      <c r="AQ111" s="124"/>
      <c r="AR111" s="124"/>
      <c r="AS111" s="124"/>
      <c r="AT111" s="124"/>
      <c r="AU111" s="124"/>
      <c r="AV111" s="124"/>
      <c r="AW111" s="124"/>
      <c r="AX111" s="124"/>
      <c r="AY111" s="124"/>
      <c r="AZ111" s="124"/>
      <c r="BA111" s="124"/>
      <c r="BB111" s="124"/>
      <c r="BC111" s="124"/>
      <c r="BD111" s="124"/>
      <c r="BE111" s="124"/>
      <c r="BF111" s="124"/>
      <c r="BG111" s="124"/>
      <c r="BH111" s="124"/>
      <c r="BI111" s="124"/>
      <c r="BJ111" s="124"/>
      <c r="BK111" s="124"/>
      <c r="BL111" s="124"/>
      <c r="BM111" s="124"/>
      <c r="BN111" s="124"/>
      <c r="BO111" s="124"/>
      <c r="BP111" s="124"/>
      <c r="BQ111" s="124"/>
      <c r="BR111" s="124"/>
      <c r="BS111" s="124"/>
      <c r="BT111" s="124"/>
      <c r="BU111" s="124"/>
      <c r="BV111" s="124"/>
      <c r="BW111" s="124"/>
      <c r="BX111" s="124"/>
      <c r="BY111" s="124"/>
      <c r="BZ111" s="124"/>
      <c r="CA111" s="124"/>
      <c r="CB111" s="124"/>
      <c r="CC111" s="124"/>
      <c r="CD111" s="124"/>
      <c r="CE111" s="124"/>
      <c r="CF111" s="124"/>
      <c r="CG111" s="124"/>
      <c r="CH111" s="124"/>
      <c r="CI111" s="124"/>
    </row>
    <row r="112" spans="1:93" s="117" customFormat="1" ht="25.5">
      <c r="A112" s="114">
        <v>41738.412268518521</v>
      </c>
      <c r="B112" s="115">
        <v>41738.412268518521</v>
      </c>
      <c r="C112" s="114">
        <v>41738.416041666664</v>
      </c>
      <c r="D112" s="115">
        <v>41738.416041666664</v>
      </c>
      <c r="E112" s="116" t="s">
        <v>1520</v>
      </c>
      <c r="F112" s="122" t="s">
        <v>1513</v>
      </c>
      <c r="G112" s="117" t="s">
        <v>1510</v>
      </c>
      <c r="H112" s="117">
        <v>9898745678</v>
      </c>
      <c r="I112" s="117">
        <v>593</v>
      </c>
      <c r="J112" s="118" t="s">
        <v>1521</v>
      </c>
      <c r="K112" s="117" t="s">
        <v>1006</v>
      </c>
      <c r="L112" s="117" t="s">
        <v>966</v>
      </c>
      <c r="M112" s="117" t="s">
        <v>932</v>
      </c>
      <c r="N112" s="117" t="s">
        <v>932</v>
      </c>
      <c r="O112" s="117" t="s">
        <v>932</v>
      </c>
      <c r="P112" s="117" t="s">
        <v>934</v>
      </c>
      <c r="Q112" s="117" t="s">
        <v>934</v>
      </c>
      <c r="R112" s="117" t="s">
        <v>934</v>
      </c>
      <c r="S112" s="117" t="s">
        <v>934</v>
      </c>
      <c r="T112" s="119" t="s">
        <v>932</v>
      </c>
      <c r="U112" s="117" t="s">
        <v>932</v>
      </c>
      <c r="V112" s="117" t="s">
        <v>932</v>
      </c>
      <c r="W112" s="117" t="s">
        <v>932</v>
      </c>
      <c r="X112" s="117" t="s">
        <v>934</v>
      </c>
      <c r="Y112" s="117" t="s">
        <v>934</v>
      </c>
      <c r="Z112" s="117" t="s">
        <v>934</v>
      </c>
      <c r="AA112" s="117" t="s">
        <v>934</v>
      </c>
      <c r="AB112" s="117" t="s">
        <v>934</v>
      </c>
      <c r="AC112" s="117" t="s">
        <v>934</v>
      </c>
      <c r="AD112" s="117" t="s">
        <v>934</v>
      </c>
      <c r="AE112" s="117" t="s">
        <v>934</v>
      </c>
      <c r="AF112" s="117" t="s">
        <v>934</v>
      </c>
      <c r="AG112" s="117" t="s">
        <v>934</v>
      </c>
      <c r="AH112" s="117" t="s">
        <v>934</v>
      </c>
      <c r="AI112" s="117" t="s">
        <v>934</v>
      </c>
      <c r="AJ112" s="117" t="s">
        <v>943</v>
      </c>
      <c r="AK112" s="117" t="s">
        <v>1522</v>
      </c>
      <c r="AL112" s="117" t="s">
        <v>943</v>
      </c>
      <c r="AM112" s="117" t="s">
        <v>1088</v>
      </c>
      <c r="AN112" s="117" t="s">
        <v>932</v>
      </c>
      <c r="AO112" s="117" t="s">
        <v>1523</v>
      </c>
      <c r="AP112" s="124"/>
      <c r="AQ112" s="124"/>
      <c r="AR112" s="124"/>
      <c r="AS112" s="124"/>
      <c r="AT112" s="124"/>
      <c r="AU112" s="124"/>
      <c r="AV112" s="124"/>
      <c r="AW112" s="124"/>
      <c r="AX112" s="124"/>
      <c r="AY112" s="124"/>
      <c r="AZ112" s="124"/>
      <c r="BA112" s="124"/>
      <c r="BB112" s="124"/>
      <c r="BC112" s="124"/>
      <c r="BD112" s="124"/>
      <c r="BE112" s="124"/>
      <c r="BF112" s="124"/>
      <c r="BG112" s="124"/>
      <c r="BH112" s="124"/>
      <c r="BI112" s="124"/>
      <c r="BJ112" s="124"/>
      <c r="BK112" s="124"/>
      <c r="BL112" s="124"/>
      <c r="BM112" s="124"/>
      <c r="BN112" s="124"/>
      <c r="BO112" s="124"/>
      <c r="BP112" s="124"/>
      <c r="BQ112" s="124"/>
      <c r="BR112" s="124"/>
      <c r="BS112" s="124"/>
      <c r="BT112" s="124"/>
      <c r="BU112" s="124"/>
      <c r="BV112" s="124"/>
      <c r="BW112" s="124"/>
      <c r="BX112" s="124"/>
      <c r="BY112" s="124"/>
      <c r="BZ112" s="124"/>
      <c r="CA112" s="124"/>
      <c r="CB112" s="124"/>
      <c r="CC112" s="124"/>
      <c r="CD112" s="124"/>
      <c r="CE112" s="124"/>
      <c r="CF112" s="124"/>
      <c r="CG112" s="124"/>
      <c r="CH112" s="124"/>
      <c r="CI112" s="124"/>
    </row>
    <row r="113" spans="1:87" s="117" customFormat="1" ht="25.5">
      <c r="A113" s="114">
        <v>41738.417268518519</v>
      </c>
      <c r="B113" s="115">
        <v>41738.417268518519</v>
      </c>
      <c r="C113" s="114">
        <v>41738.425497685188</v>
      </c>
      <c r="D113" s="115">
        <v>41738.425497685188</v>
      </c>
      <c r="E113" s="116" t="s">
        <v>1524</v>
      </c>
      <c r="F113" s="122" t="s">
        <v>1513</v>
      </c>
      <c r="G113" s="117" t="s">
        <v>1510</v>
      </c>
      <c r="H113" s="117">
        <v>9898745678</v>
      </c>
      <c r="I113" s="117">
        <v>596</v>
      </c>
      <c r="J113" s="118" t="s">
        <v>1525</v>
      </c>
      <c r="K113" s="117" t="s">
        <v>977</v>
      </c>
      <c r="L113" s="117" t="s">
        <v>966</v>
      </c>
      <c r="M113" s="117" t="s">
        <v>932</v>
      </c>
      <c r="N113" s="117" t="s">
        <v>932</v>
      </c>
      <c r="O113" s="117" t="s">
        <v>932</v>
      </c>
      <c r="P113" s="117" t="s">
        <v>934</v>
      </c>
      <c r="Q113" s="117" t="s">
        <v>934</v>
      </c>
      <c r="R113" s="117" t="s">
        <v>934</v>
      </c>
      <c r="S113" s="117" t="s">
        <v>934</v>
      </c>
      <c r="T113" s="119" t="s">
        <v>934</v>
      </c>
      <c r="U113" s="117" t="s">
        <v>932</v>
      </c>
      <c r="V113" s="117" t="s">
        <v>932</v>
      </c>
      <c r="W113" s="117" t="s">
        <v>932</v>
      </c>
      <c r="X113" s="117" t="s">
        <v>934</v>
      </c>
      <c r="Y113" s="117" t="s">
        <v>934</v>
      </c>
      <c r="Z113" s="117" t="s">
        <v>934</v>
      </c>
      <c r="AA113" s="117" t="s">
        <v>934</v>
      </c>
      <c r="AB113" s="117" t="s">
        <v>934</v>
      </c>
      <c r="AC113" s="117" t="s">
        <v>934</v>
      </c>
      <c r="AD113" s="117" t="s">
        <v>934</v>
      </c>
      <c r="AE113" s="117" t="s">
        <v>934</v>
      </c>
      <c r="AF113" s="117" t="s">
        <v>934</v>
      </c>
      <c r="AG113" s="117" t="s">
        <v>934</v>
      </c>
      <c r="AH113" s="117" t="s">
        <v>934</v>
      </c>
      <c r="AI113" s="117" t="s">
        <v>934</v>
      </c>
      <c r="AJ113" s="117" t="s">
        <v>943</v>
      </c>
      <c r="AK113" s="117" t="s">
        <v>1526</v>
      </c>
      <c r="AL113" s="117" t="s">
        <v>943</v>
      </c>
      <c r="AM113" s="117" t="s">
        <v>1088</v>
      </c>
      <c r="AN113" s="117" t="s">
        <v>932</v>
      </c>
      <c r="AO113" s="124"/>
      <c r="AP113" s="117" t="s">
        <v>981</v>
      </c>
      <c r="AQ113" s="117" t="s">
        <v>1080</v>
      </c>
      <c r="AR113" s="117" t="s">
        <v>942</v>
      </c>
      <c r="AS113" s="117" t="s">
        <v>943</v>
      </c>
      <c r="AT113" s="117" t="s">
        <v>933</v>
      </c>
      <c r="AU113" s="117" t="s">
        <v>932</v>
      </c>
      <c r="AV113" s="117" t="s">
        <v>932</v>
      </c>
      <c r="AW113" s="117">
        <v>0</v>
      </c>
      <c r="AX113" s="117" t="s">
        <v>932</v>
      </c>
      <c r="AY113" s="117">
        <v>3</v>
      </c>
      <c r="AZ113" s="117">
        <v>4.7</v>
      </c>
      <c r="BA113" s="117" t="s">
        <v>932</v>
      </c>
      <c r="BB113" s="117" t="s">
        <v>932</v>
      </c>
      <c r="BC113" s="117" t="s">
        <v>932</v>
      </c>
      <c r="BD113" s="117" t="s">
        <v>932</v>
      </c>
      <c r="BE113" s="117" t="s">
        <v>932</v>
      </c>
      <c r="BF113" s="117">
        <v>1</v>
      </c>
      <c r="BG113" s="117" t="s">
        <v>932</v>
      </c>
      <c r="BH113" s="117">
        <v>15</v>
      </c>
      <c r="BI113" s="117" t="s">
        <v>1083</v>
      </c>
      <c r="BJ113" s="117" t="s">
        <v>932</v>
      </c>
      <c r="BK113" s="117" t="s">
        <v>932</v>
      </c>
      <c r="BL113" s="117">
        <v>1</v>
      </c>
      <c r="BM113" s="117" t="s">
        <v>932</v>
      </c>
      <c r="BN113" s="117" t="s">
        <v>932</v>
      </c>
      <c r="BO113" s="117" t="s">
        <v>932</v>
      </c>
      <c r="BP113" s="117">
        <v>0</v>
      </c>
      <c r="BS113" s="117">
        <v>25</v>
      </c>
      <c r="BT113" s="117" t="s">
        <v>946</v>
      </c>
      <c r="BU113" s="117" t="s">
        <v>932</v>
      </c>
      <c r="BV113" s="117">
        <v>596</v>
      </c>
      <c r="BW113" s="117" t="s">
        <v>798</v>
      </c>
      <c r="BX113" s="117">
        <v>6.05</v>
      </c>
      <c r="BY113" s="117" t="s">
        <v>190</v>
      </c>
      <c r="CB113" s="117" t="s">
        <v>932</v>
      </c>
      <c r="CC113" s="117">
        <v>821</v>
      </c>
      <c r="CD113" s="117" t="s">
        <v>932</v>
      </c>
      <c r="CE113" s="117" t="s">
        <v>932</v>
      </c>
      <c r="CF113" s="117">
        <v>27</v>
      </c>
      <c r="CG113" s="117">
        <v>0.5</v>
      </c>
      <c r="CH113" s="117" t="s">
        <v>932</v>
      </c>
      <c r="CI113" s="117" t="s">
        <v>932</v>
      </c>
    </row>
    <row r="114" spans="1:87" s="117" customFormat="1" ht="25.5">
      <c r="A114" s="114">
        <v>41738.426805555559</v>
      </c>
      <c r="B114" s="115">
        <v>41738.426805555559</v>
      </c>
      <c r="C114" s="114">
        <v>41738.431458333333</v>
      </c>
      <c r="D114" s="115">
        <v>41738.431458333333</v>
      </c>
      <c r="E114" s="116" t="s">
        <v>1527</v>
      </c>
      <c r="F114" s="122" t="s">
        <v>1513</v>
      </c>
      <c r="G114" s="117" t="s">
        <v>1510</v>
      </c>
      <c r="H114" s="117">
        <v>9898745678</v>
      </c>
      <c r="I114" s="117">
        <v>597</v>
      </c>
      <c r="J114" s="118" t="s">
        <v>1067</v>
      </c>
      <c r="K114" s="117" t="s">
        <v>977</v>
      </c>
      <c r="L114" s="117" t="s">
        <v>966</v>
      </c>
      <c r="M114" s="117" t="s">
        <v>932</v>
      </c>
      <c r="N114" s="117" t="s">
        <v>932</v>
      </c>
      <c r="O114" s="117" t="s">
        <v>932</v>
      </c>
      <c r="P114" s="117" t="s">
        <v>934</v>
      </c>
      <c r="Q114" s="117" t="s">
        <v>934</v>
      </c>
      <c r="R114" s="117" t="s">
        <v>934</v>
      </c>
      <c r="S114" s="117" t="s">
        <v>934</v>
      </c>
      <c r="T114" s="119" t="s">
        <v>934</v>
      </c>
      <c r="U114" s="117" t="s">
        <v>932</v>
      </c>
      <c r="V114" s="117" t="s">
        <v>932</v>
      </c>
      <c r="W114" s="117" t="s">
        <v>932</v>
      </c>
      <c r="X114" s="117" t="s">
        <v>934</v>
      </c>
      <c r="Y114" s="117" t="s">
        <v>934</v>
      </c>
      <c r="Z114" s="117" t="s">
        <v>934</v>
      </c>
      <c r="AA114" s="117" t="s">
        <v>934</v>
      </c>
      <c r="AB114" s="117" t="s">
        <v>934</v>
      </c>
      <c r="AC114" s="117" t="s">
        <v>934</v>
      </c>
      <c r="AD114" s="117" t="s">
        <v>934</v>
      </c>
      <c r="AE114" s="117" t="s">
        <v>934</v>
      </c>
      <c r="AF114" s="117" t="s">
        <v>934</v>
      </c>
      <c r="AG114" s="117" t="s">
        <v>934</v>
      </c>
      <c r="AH114" s="117" t="s">
        <v>934</v>
      </c>
      <c r="AI114" s="117" t="s">
        <v>934</v>
      </c>
      <c r="AJ114" s="117" t="s">
        <v>943</v>
      </c>
      <c r="AK114" s="117" t="s">
        <v>1063</v>
      </c>
      <c r="AL114" s="117" t="s">
        <v>943</v>
      </c>
      <c r="AM114" s="117" t="s">
        <v>1088</v>
      </c>
      <c r="AN114" s="117" t="s">
        <v>932</v>
      </c>
      <c r="AO114" s="124"/>
      <c r="AP114" s="117" t="s">
        <v>981</v>
      </c>
      <c r="AQ114" s="117" t="s">
        <v>1080</v>
      </c>
      <c r="AR114" s="117" t="s">
        <v>942</v>
      </c>
      <c r="AS114" s="117" t="s">
        <v>943</v>
      </c>
      <c r="AU114" s="117" t="s">
        <v>933</v>
      </c>
      <c r="AV114" s="117" t="s">
        <v>932</v>
      </c>
      <c r="AW114" s="117">
        <v>0</v>
      </c>
      <c r="AX114" s="117" t="s">
        <v>933</v>
      </c>
      <c r="AY114" s="117">
        <v>65</v>
      </c>
      <c r="AZ114" s="117">
        <v>65</v>
      </c>
      <c r="BA114" s="117" t="s">
        <v>932</v>
      </c>
      <c r="BB114" s="117" t="s">
        <v>933</v>
      </c>
      <c r="BC114" s="117" t="s">
        <v>932</v>
      </c>
      <c r="BD114" s="117" t="s">
        <v>932</v>
      </c>
      <c r="BE114" s="117" t="s">
        <v>932</v>
      </c>
      <c r="BF114" s="117">
        <v>1</v>
      </c>
      <c r="BG114" s="117" t="s">
        <v>932</v>
      </c>
      <c r="BH114" s="117">
        <v>15</v>
      </c>
      <c r="BI114" s="117" t="s">
        <v>1528</v>
      </c>
      <c r="BJ114" s="117" t="s">
        <v>932</v>
      </c>
      <c r="BK114" s="117" t="s">
        <v>932</v>
      </c>
      <c r="BL114" s="117">
        <v>3</v>
      </c>
      <c r="BM114" s="117" t="s">
        <v>932</v>
      </c>
      <c r="BN114" s="117" t="s">
        <v>932</v>
      </c>
      <c r="BO114" s="117" t="s">
        <v>932</v>
      </c>
      <c r="BP114" s="117">
        <v>1</v>
      </c>
      <c r="BQ114" s="117" t="s">
        <v>932</v>
      </c>
      <c r="BS114" s="117">
        <v>200</v>
      </c>
      <c r="BT114" s="117" t="s">
        <v>946</v>
      </c>
      <c r="BU114" s="117" t="s">
        <v>932</v>
      </c>
      <c r="BV114" s="117">
        <v>597</v>
      </c>
      <c r="BW114" s="117" t="s">
        <v>802</v>
      </c>
      <c r="BX114" s="117">
        <v>6.05</v>
      </c>
      <c r="BY114" s="117" t="s">
        <v>190</v>
      </c>
      <c r="CB114" s="117" t="s">
        <v>932</v>
      </c>
      <c r="CC114" s="117">
        <v>821</v>
      </c>
      <c r="CD114" s="117" t="s">
        <v>932</v>
      </c>
      <c r="CE114" s="117" t="s">
        <v>932</v>
      </c>
      <c r="CF114" s="117">
        <v>34</v>
      </c>
      <c r="CG114" s="117">
        <v>1.5</v>
      </c>
      <c r="CH114" s="117" t="s">
        <v>932</v>
      </c>
      <c r="CI114" s="117" t="s">
        <v>932</v>
      </c>
    </row>
    <row r="115" spans="1:87" s="117" customFormat="1" ht="25.5">
      <c r="A115" s="114">
        <v>41738.500983796293</v>
      </c>
      <c r="B115" s="115">
        <v>41738.500983796293</v>
      </c>
      <c r="C115" s="114">
        <v>41738.508310185185</v>
      </c>
      <c r="D115" s="115">
        <v>41738.508310185185</v>
      </c>
      <c r="E115" s="116" t="s">
        <v>1323</v>
      </c>
      <c r="F115" s="122" t="s">
        <v>1529</v>
      </c>
      <c r="G115" s="117" t="s">
        <v>1530</v>
      </c>
      <c r="H115" s="117">
        <v>9895505858</v>
      </c>
      <c r="I115" s="117">
        <v>573</v>
      </c>
      <c r="J115" s="118" t="s">
        <v>1144</v>
      </c>
      <c r="K115" s="117" t="s">
        <v>1270</v>
      </c>
      <c r="L115" s="117" t="s">
        <v>966</v>
      </c>
      <c r="M115" s="117" t="s">
        <v>932</v>
      </c>
      <c r="N115" s="117" t="s">
        <v>932</v>
      </c>
      <c r="O115" s="117" t="s">
        <v>932</v>
      </c>
      <c r="P115" s="117" t="s">
        <v>932</v>
      </c>
      <c r="Q115" s="117" t="s">
        <v>934</v>
      </c>
      <c r="R115" s="117" t="s">
        <v>932</v>
      </c>
      <c r="S115" s="117" t="s">
        <v>932</v>
      </c>
      <c r="T115" s="119" t="s">
        <v>932</v>
      </c>
      <c r="U115" s="117" t="s">
        <v>932</v>
      </c>
      <c r="V115" s="117" t="s">
        <v>932</v>
      </c>
      <c r="W115" s="117" t="s">
        <v>932</v>
      </c>
      <c r="X115" s="117" t="s">
        <v>934</v>
      </c>
      <c r="Y115" s="117" t="s">
        <v>934</v>
      </c>
      <c r="Z115" s="117" t="s">
        <v>934</v>
      </c>
      <c r="AA115" s="117" t="s">
        <v>934</v>
      </c>
      <c r="AB115" s="117" t="s">
        <v>934</v>
      </c>
      <c r="AC115" s="117" t="s">
        <v>934</v>
      </c>
      <c r="AD115" s="117" t="s">
        <v>934</v>
      </c>
      <c r="AE115" s="117" t="s">
        <v>934</v>
      </c>
      <c r="AF115" s="117" t="s">
        <v>934</v>
      </c>
      <c r="AG115" s="117" t="s">
        <v>934</v>
      </c>
      <c r="AH115" s="117" t="s">
        <v>934</v>
      </c>
      <c r="AI115" s="117" t="s">
        <v>934</v>
      </c>
      <c r="AJ115" s="117" t="s">
        <v>943</v>
      </c>
      <c r="AK115" s="117" t="s">
        <v>1531</v>
      </c>
      <c r="AL115" s="117" t="s">
        <v>943</v>
      </c>
      <c r="AM115" s="117" t="s">
        <v>1088</v>
      </c>
      <c r="AN115" s="117" t="s">
        <v>932</v>
      </c>
      <c r="AO115" s="124"/>
      <c r="AP115" s="117" t="s">
        <v>1187</v>
      </c>
      <c r="AQ115" s="117" t="s">
        <v>1187</v>
      </c>
      <c r="AR115" s="117" t="s">
        <v>942</v>
      </c>
      <c r="AS115" s="117" t="s">
        <v>943</v>
      </c>
      <c r="AT115" s="117" t="s">
        <v>933</v>
      </c>
      <c r="AU115" s="117" t="s">
        <v>932</v>
      </c>
      <c r="AV115" s="117" t="s">
        <v>932</v>
      </c>
      <c r="AW115" s="117">
        <v>0.5</v>
      </c>
      <c r="AX115" s="117" t="s">
        <v>933</v>
      </c>
      <c r="AY115" s="117">
        <v>4.4000000000000004</v>
      </c>
      <c r="AZ115" s="117">
        <v>0.2</v>
      </c>
      <c r="BA115" s="117" t="s">
        <v>932</v>
      </c>
      <c r="BB115" s="117" t="s">
        <v>932</v>
      </c>
      <c r="BC115" s="117" t="s">
        <v>932</v>
      </c>
      <c r="BD115" s="117" t="s">
        <v>932</v>
      </c>
      <c r="BE115" s="117" t="s">
        <v>932</v>
      </c>
      <c r="BF115" s="117">
        <v>0</v>
      </c>
      <c r="BH115" s="117">
        <v>15</v>
      </c>
      <c r="BI115" s="117" t="s">
        <v>1325</v>
      </c>
      <c r="BJ115" s="117" t="s">
        <v>932</v>
      </c>
      <c r="BK115" s="117" t="s">
        <v>932</v>
      </c>
      <c r="BL115" s="117">
        <v>1</v>
      </c>
      <c r="BM115" s="117" t="s">
        <v>932</v>
      </c>
      <c r="BN115" s="117" t="s">
        <v>932</v>
      </c>
      <c r="BO115" s="117" t="s">
        <v>932</v>
      </c>
      <c r="BP115" s="117">
        <v>0</v>
      </c>
      <c r="BS115" s="117">
        <v>100</v>
      </c>
      <c r="BT115" s="117" t="s">
        <v>1326</v>
      </c>
      <c r="BU115" s="117" t="s">
        <v>932</v>
      </c>
      <c r="BV115" s="117">
        <v>573</v>
      </c>
      <c r="BW115" s="117" t="s">
        <v>811</v>
      </c>
      <c r="BX115" s="117">
        <v>6.05</v>
      </c>
      <c r="BY115" s="117" t="s">
        <v>190</v>
      </c>
      <c r="CB115" s="117" t="s">
        <v>932</v>
      </c>
      <c r="CC115" s="117">
        <v>821</v>
      </c>
      <c r="CD115" s="117" t="s">
        <v>932</v>
      </c>
      <c r="CE115" s="117" t="s">
        <v>932</v>
      </c>
      <c r="CF115" s="117">
        <v>35</v>
      </c>
      <c r="CG115" s="117">
        <v>1</v>
      </c>
      <c r="CH115" s="117" t="s">
        <v>932</v>
      </c>
      <c r="CI115" s="117" t="s">
        <v>932</v>
      </c>
    </row>
    <row r="116" spans="1:87" s="117" customFormat="1" ht="25.5">
      <c r="A116" s="114">
        <v>41738.510046296295</v>
      </c>
      <c r="B116" s="115">
        <v>41738.510046296295</v>
      </c>
      <c r="C116" s="114">
        <v>41738.515057870369</v>
      </c>
      <c r="D116" s="115">
        <v>41738.515057870369</v>
      </c>
      <c r="E116" s="116" t="s">
        <v>1321</v>
      </c>
      <c r="F116" s="122" t="s">
        <v>1529</v>
      </c>
      <c r="G116" s="117" t="s">
        <v>1530</v>
      </c>
      <c r="H116" s="117">
        <v>9895505858</v>
      </c>
      <c r="I116" s="117">
        <v>574</v>
      </c>
      <c r="J116" s="118" t="s">
        <v>1023</v>
      </c>
      <c r="K116" s="117" t="s">
        <v>1139</v>
      </c>
      <c r="L116" s="117" t="s">
        <v>966</v>
      </c>
      <c r="M116" s="117" t="s">
        <v>932</v>
      </c>
      <c r="N116" s="117" t="s">
        <v>932</v>
      </c>
      <c r="O116" s="117" t="s">
        <v>932</v>
      </c>
      <c r="P116" s="117" t="s">
        <v>934</v>
      </c>
      <c r="Q116" s="117" t="s">
        <v>934</v>
      </c>
      <c r="R116" s="117" t="s">
        <v>934</v>
      </c>
      <c r="S116" s="117" t="s">
        <v>934</v>
      </c>
      <c r="T116" s="119" t="s">
        <v>932</v>
      </c>
      <c r="U116" s="117" t="s">
        <v>932</v>
      </c>
      <c r="V116" s="117" t="s">
        <v>932</v>
      </c>
      <c r="W116" s="117" t="s">
        <v>932</v>
      </c>
      <c r="X116" s="117" t="s">
        <v>934</v>
      </c>
      <c r="Y116" s="117" t="s">
        <v>934</v>
      </c>
      <c r="Z116" s="117" t="s">
        <v>934</v>
      </c>
      <c r="AA116" s="117" t="s">
        <v>934</v>
      </c>
      <c r="AB116" s="117" t="s">
        <v>934</v>
      </c>
      <c r="AC116" s="117" t="s">
        <v>934</v>
      </c>
      <c r="AD116" s="117" t="s">
        <v>934</v>
      </c>
      <c r="AE116" s="117" t="s">
        <v>934</v>
      </c>
      <c r="AF116" s="117" t="s">
        <v>934</v>
      </c>
      <c r="AG116" s="117" t="s">
        <v>934</v>
      </c>
      <c r="AH116" s="117" t="s">
        <v>934</v>
      </c>
      <c r="AI116" s="117" t="s">
        <v>934</v>
      </c>
      <c r="AJ116" s="117" t="s">
        <v>943</v>
      </c>
      <c r="AK116" s="117" t="s">
        <v>1532</v>
      </c>
      <c r="AL116" s="117" t="s">
        <v>943</v>
      </c>
      <c r="AM116" s="117" t="s">
        <v>1088</v>
      </c>
      <c r="AN116" s="117" t="s">
        <v>932</v>
      </c>
      <c r="AO116" s="124"/>
      <c r="AP116" s="117" t="s">
        <v>981</v>
      </c>
      <c r="AQ116" s="117" t="s">
        <v>1080</v>
      </c>
      <c r="AR116" s="117" t="s">
        <v>942</v>
      </c>
      <c r="AS116" s="117" t="s">
        <v>943</v>
      </c>
      <c r="AT116" s="117" t="s">
        <v>933</v>
      </c>
      <c r="AU116" s="117" t="s">
        <v>933</v>
      </c>
      <c r="AV116" s="117" t="s">
        <v>932</v>
      </c>
      <c r="AW116" s="117">
        <v>0.1</v>
      </c>
      <c r="AX116" s="117" t="s">
        <v>932</v>
      </c>
      <c r="AY116" s="117">
        <v>0.2</v>
      </c>
      <c r="AZ116" s="117">
        <v>0.3</v>
      </c>
      <c r="BA116" s="117" t="s">
        <v>932</v>
      </c>
      <c r="BB116" s="117" t="s">
        <v>932</v>
      </c>
      <c r="BC116" s="117" t="s">
        <v>932</v>
      </c>
      <c r="BD116" s="117" t="s">
        <v>932</v>
      </c>
      <c r="BE116" s="117" t="s">
        <v>932</v>
      </c>
      <c r="BF116" s="117">
        <v>1</v>
      </c>
      <c r="BG116" s="117" t="s">
        <v>932</v>
      </c>
      <c r="BH116" s="117">
        <v>15</v>
      </c>
      <c r="BI116" s="117" t="s">
        <v>1083</v>
      </c>
      <c r="BJ116" s="117" t="s">
        <v>932</v>
      </c>
      <c r="BK116" s="117" t="s">
        <v>932</v>
      </c>
      <c r="BL116" s="117">
        <v>1</v>
      </c>
      <c r="BM116" s="117" t="s">
        <v>932</v>
      </c>
      <c r="BN116" s="117" t="s">
        <v>932</v>
      </c>
      <c r="BO116" s="117" t="s">
        <v>932</v>
      </c>
      <c r="BP116" s="117">
        <v>1</v>
      </c>
      <c r="BQ116" s="117" t="s">
        <v>932</v>
      </c>
      <c r="BS116" s="117">
        <v>150</v>
      </c>
      <c r="BT116" s="117" t="s">
        <v>946</v>
      </c>
      <c r="BU116" s="117" t="s">
        <v>932</v>
      </c>
      <c r="BV116" s="117">
        <v>574</v>
      </c>
      <c r="BW116" s="117" t="s">
        <v>813</v>
      </c>
      <c r="BX116" s="117">
        <v>6.05</v>
      </c>
      <c r="BY116" s="117" t="s">
        <v>190</v>
      </c>
      <c r="CB116" s="117" t="s">
        <v>932</v>
      </c>
      <c r="CC116" s="117">
        <v>821</v>
      </c>
      <c r="CD116" s="117" t="s">
        <v>932</v>
      </c>
      <c r="CE116" s="117" t="s">
        <v>932</v>
      </c>
      <c r="CF116" s="117">
        <v>30</v>
      </c>
      <c r="CG116" s="117">
        <v>1.5</v>
      </c>
      <c r="CH116" s="117" t="s">
        <v>932</v>
      </c>
      <c r="CI116" s="117" t="s">
        <v>932</v>
      </c>
    </row>
    <row r="117" spans="1:87" s="117" customFormat="1" ht="25.5">
      <c r="A117" s="114">
        <v>41738.521099537036</v>
      </c>
      <c r="B117" s="115">
        <v>41738.521099537036</v>
      </c>
      <c r="C117" s="114">
        <v>41738.525405092594</v>
      </c>
      <c r="D117" s="115">
        <v>41738.525405092594</v>
      </c>
      <c r="E117" s="116" t="s">
        <v>1533</v>
      </c>
      <c r="F117" s="122" t="s">
        <v>1529</v>
      </c>
      <c r="G117" s="117" t="s">
        <v>1530</v>
      </c>
      <c r="H117" s="117">
        <v>9895505858</v>
      </c>
      <c r="I117" s="117">
        <v>578</v>
      </c>
      <c r="J117" s="118" t="s">
        <v>1023</v>
      </c>
      <c r="K117" s="117" t="s">
        <v>1006</v>
      </c>
      <c r="L117" s="117" t="s">
        <v>966</v>
      </c>
      <c r="M117" s="117" t="s">
        <v>932</v>
      </c>
      <c r="N117" s="117" t="s">
        <v>932</v>
      </c>
      <c r="O117" s="117" t="s">
        <v>932</v>
      </c>
      <c r="P117" s="117" t="s">
        <v>932</v>
      </c>
      <c r="Q117" s="117" t="s">
        <v>934</v>
      </c>
      <c r="R117" s="117" t="s">
        <v>932</v>
      </c>
      <c r="S117" s="117" t="s">
        <v>932</v>
      </c>
      <c r="T117" s="119" t="s">
        <v>932</v>
      </c>
      <c r="U117" s="117" t="s">
        <v>932</v>
      </c>
      <c r="V117" s="117" t="s">
        <v>932</v>
      </c>
      <c r="W117" s="117" t="s">
        <v>932</v>
      </c>
      <c r="X117" s="117" t="s">
        <v>934</v>
      </c>
      <c r="Y117" s="117" t="s">
        <v>934</v>
      </c>
      <c r="Z117" s="117" t="s">
        <v>934</v>
      </c>
      <c r="AA117" s="117" t="s">
        <v>934</v>
      </c>
      <c r="AB117" s="117" t="s">
        <v>934</v>
      </c>
      <c r="AC117" s="117" t="s">
        <v>934</v>
      </c>
      <c r="AD117" s="117" t="s">
        <v>934</v>
      </c>
      <c r="AE117" s="117" t="s">
        <v>934</v>
      </c>
      <c r="AF117" s="117" t="s">
        <v>934</v>
      </c>
      <c r="AG117" s="117" t="s">
        <v>934</v>
      </c>
      <c r="AH117" s="117" t="s">
        <v>934</v>
      </c>
      <c r="AI117" s="117" t="s">
        <v>934</v>
      </c>
      <c r="AJ117" s="117" t="s">
        <v>943</v>
      </c>
      <c r="AK117" s="117" t="s">
        <v>1534</v>
      </c>
      <c r="AL117" s="117" t="s">
        <v>943</v>
      </c>
      <c r="AM117" s="117" t="s">
        <v>1535</v>
      </c>
      <c r="AN117" s="117" t="s">
        <v>932</v>
      </c>
      <c r="AO117" s="117" t="s">
        <v>1536</v>
      </c>
    </row>
    <row r="118" spans="1:87" s="117" customFormat="1" ht="25.5">
      <c r="A118" s="114">
        <v>41738.528877314813</v>
      </c>
      <c r="B118" s="115">
        <v>41738.528877314813</v>
      </c>
      <c r="C118" s="114">
        <v>41738.532372685186</v>
      </c>
      <c r="D118" s="115">
        <v>41738.532372685186</v>
      </c>
      <c r="E118" s="116" t="s">
        <v>1537</v>
      </c>
      <c r="F118" s="122" t="s">
        <v>1538</v>
      </c>
      <c r="G118" s="117" t="s">
        <v>1530</v>
      </c>
      <c r="H118" s="117">
        <v>9895505858</v>
      </c>
      <c r="I118" s="117">
        <v>577</v>
      </c>
      <c r="J118" s="118" t="s">
        <v>998</v>
      </c>
      <c r="K118" s="117" t="s">
        <v>1263</v>
      </c>
      <c r="L118" s="117" t="s">
        <v>966</v>
      </c>
      <c r="M118" s="117" t="s">
        <v>932</v>
      </c>
      <c r="N118" s="117" t="s">
        <v>932</v>
      </c>
      <c r="O118" s="117" t="s">
        <v>932</v>
      </c>
      <c r="P118" s="117" t="s">
        <v>934</v>
      </c>
      <c r="Q118" s="117" t="s">
        <v>934</v>
      </c>
      <c r="R118" s="117" t="s">
        <v>934</v>
      </c>
      <c r="S118" s="117" t="s">
        <v>934</v>
      </c>
      <c r="T118" s="119" t="s">
        <v>934</v>
      </c>
      <c r="U118" s="117" t="s">
        <v>932</v>
      </c>
      <c r="V118" s="117" t="s">
        <v>932</v>
      </c>
      <c r="W118" s="117" t="s">
        <v>932</v>
      </c>
      <c r="X118" s="117" t="s">
        <v>934</v>
      </c>
      <c r="Y118" s="117" t="s">
        <v>934</v>
      </c>
      <c r="Z118" s="117" t="s">
        <v>934</v>
      </c>
      <c r="AA118" s="117" t="s">
        <v>934</v>
      </c>
      <c r="AB118" s="117" t="s">
        <v>934</v>
      </c>
      <c r="AC118" s="117" t="s">
        <v>934</v>
      </c>
      <c r="AD118" s="117" t="s">
        <v>934</v>
      </c>
      <c r="AE118" s="117" t="s">
        <v>934</v>
      </c>
      <c r="AF118" s="117" t="s">
        <v>934</v>
      </c>
      <c r="AG118" s="117" t="s">
        <v>934</v>
      </c>
      <c r="AH118" s="117" t="s">
        <v>934</v>
      </c>
      <c r="AI118" s="117" t="s">
        <v>934</v>
      </c>
      <c r="AJ118" s="117" t="s">
        <v>943</v>
      </c>
      <c r="AK118" s="117" t="s">
        <v>1191</v>
      </c>
      <c r="AL118" s="117" t="s">
        <v>943</v>
      </c>
      <c r="AM118" s="117" t="s">
        <v>1088</v>
      </c>
      <c r="AN118" s="117" t="s">
        <v>932</v>
      </c>
      <c r="AO118" s="124"/>
    </row>
    <row r="119" spans="1:87" s="117" customFormat="1" ht="25.5">
      <c r="A119" s="114">
        <v>41738.533483796295</v>
      </c>
      <c r="B119" s="115">
        <v>41738.533483796295</v>
      </c>
      <c r="C119" s="114">
        <v>41738.538842592592</v>
      </c>
      <c r="D119" s="115">
        <v>41738.538842592592</v>
      </c>
      <c r="E119" s="116" t="s">
        <v>1313</v>
      </c>
      <c r="F119" s="122" t="s">
        <v>1529</v>
      </c>
      <c r="G119" s="117" t="s">
        <v>1530</v>
      </c>
      <c r="H119" s="117">
        <v>9895505858</v>
      </c>
      <c r="I119" s="117">
        <v>576</v>
      </c>
      <c r="J119" s="118" t="s">
        <v>1539</v>
      </c>
      <c r="K119" s="117" t="s">
        <v>1139</v>
      </c>
      <c r="L119" s="117" t="s">
        <v>966</v>
      </c>
      <c r="M119" s="117" t="s">
        <v>932</v>
      </c>
      <c r="N119" s="117" t="s">
        <v>932</v>
      </c>
      <c r="O119" s="117" t="s">
        <v>932</v>
      </c>
      <c r="P119" s="117" t="s">
        <v>934</v>
      </c>
      <c r="Q119" s="117" t="s">
        <v>934</v>
      </c>
      <c r="R119" s="117" t="s">
        <v>934</v>
      </c>
      <c r="S119" s="117" t="s">
        <v>934</v>
      </c>
      <c r="T119" s="119" t="s">
        <v>934</v>
      </c>
      <c r="U119" s="117" t="s">
        <v>932</v>
      </c>
      <c r="V119" s="117" t="s">
        <v>932</v>
      </c>
      <c r="W119" s="117" t="s">
        <v>932</v>
      </c>
      <c r="X119" s="117" t="s">
        <v>934</v>
      </c>
      <c r="Y119" s="117" t="s">
        <v>934</v>
      </c>
      <c r="Z119" s="117" t="s">
        <v>934</v>
      </c>
      <c r="AA119" s="117" t="s">
        <v>934</v>
      </c>
      <c r="AB119" s="117" t="s">
        <v>934</v>
      </c>
      <c r="AC119" s="117" t="s">
        <v>934</v>
      </c>
      <c r="AD119" s="117" t="s">
        <v>934</v>
      </c>
      <c r="AE119" s="117" t="s">
        <v>934</v>
      </c>
      <c r="AF119" s="117" t="s">
        <v>934</v>
      </c>
      <c r="AG119" s="117" t="s">
        <v>934</v>
      </c>
      <c r="AH119" s="117" t="s">
        <v>934</v>
      </c>
      <c r="AI119" s="117" t="s">
        <v>934</v>
      </c>
      <c r="AJ119" s="117" t="s">
        <v>943</v>
      </c>
      <c r="AK119" s="117" t="s">
        <v>1540</v>
      </c>
      <c r="AL119" s="117" t="s">
        <v>943</v>
      </c>
      <c r="AM119" s="117" t="s">
        <v>1088</v>
      </c>
      <c r="AN119" s="117" t="s">
        <v>932</v>
      </c>
      <c r="AO119" s="124"/>
      <c r="AP119" s="117" t="s">
        <v>981</v>
      </c>
      <c r="AQ119" s="117" t="s">
        <v>1080</v>
      </c>
      <c r="AR119" s="117" t="s">
        <v>942</v>
      </c>
      <c r="AS119" s="117" t="s">
        <v>943</v>
      </c>
      <c r="AT119" s="117" t="s">
        <v>933</v>
      </c>
      <c r="AU119" s="117" t="s">
        <v>933</v>
      </c>
      <c r="AV119" s="117" t="s">
        <v>932</v>
      </c>
      <c r="AW119" s="117">
        <v>0.3</v>
      </c>
      <c r="AX119" s="117" t="s">
        <v>932</v>
      </c>
      <c r="AY119" s="117">
        <v>0.3</v>
      </c>
      <c r="AZ119" s="117">
        <v>0.3</v>
      </c>
      <c r="BA119" s="117" t="s">
        <v>932</v>
      </c>
      <c r="BB119" s="117" t="s">
        <v>933</v>
      </c>
      <c r="BC119" s="117" t="s">
        <v>932</v>
      </c>
      <c r="BD119" s="117" t="s">
        <v>932</v>
      </c>
      <c r="BE119" s="117" t="s">
        <v>932</v>
      </c>
      <c r="BF119" s="117">
        <v>0</v>
      </c>
      <c r="BG119" s="117" t="s">
        <v>932</v>
      </c>
      <c r="BH119" s="117">
        <v>15</v>
      </c>
      <c r="BI119" s="117" t="s">
        <v>1315</v>
      </c>
      <c r="BJ119" s="117" t="s">
        <v>932</v>
      </c>
      <c r="BK119" s="117" t="s">
        <v>932</v>
      </c>
      <c r="BL119" s="117">
        <v>1</v>
      </c>
      <c r="BM119" s="117" t="s">
        <v>932</v>
      </c>
      <c r="BN119" s="117" t="s">
        <v>932</v>
      </c>
      <c r="BO119" s="117" t="s">
        <v>932</v>
      </c>
      <c r="BP119" s="117">
        <v>1</v>
      </c>
      <c r="BQ119" s="117" t="s">
        <v>932</v>
      </c>
      <c r="BS119" s="117">
        <v>250</v>
      </c>
      <c r="BT119" s="117" t="s">
        <v>946</v>
      </c>
      <c r="BU119" s="117" t="s">
        <v>932</v>
      </c>
      <c r="BV119" s="117">
        <v>576</v>
      </c>
      <c r="BW119" s="117" t="s">
        <v>807</v>
      </c>
      <c r="BX119" s="117">
        <v>6.05</v>
      </c>
      <c r="BY119" s="117" t="s">
        <v>190</v>
      </c>
      <c r="CB119" s="117" t="s">
        <v>932</v>
      </c>
      <c r="CC119" s="117">
        <v>821</v>
      </c>
      <c r="CD119" s="117" t="s">
        <v>932</v>
      </c>
      <c r="CE119" s="117" t="s">
        <v>932</v>
      </c>
      <c r="CF119" s="117">
        <v>30</v>
      </c>
      <c r="CG119" s="117">
        <v>0</v>
      </c>
      <c r="CH119" s="117" t="s">
        <v>932</v>
      </c>
      <c r="CI119" s="117" t="s">
        <v>932</v>
      </c>
    </row>
    <row r="120" spans="1:87" s="117" customFormat="1" ht="25.5">
      <c r="A120" s="114">
        <v>41738.539594907408</v>
      </c>
      <c r="B120" s="115">
        <v>41738.539594907408</v>
      </c>
      <c r="C120" s="114">
        <v>41738.545173611114</v>
      </c>
      <c r="D120" s="115">
        <v>41738.545173611114</v>
      </c>
      <c r="E120" s="116" t="s">
        <v>1541</v>
      </c>
      <c r="F120" s="122" t="s">
        <v>1529</v>
      </c>
      <c r="G120" s="117" t="s">
        <v>1530</v>
      </c>
      <c r="H120" s="117">
        <v>9895505858</v>
      </c>
      <c r="I120" s="117">
        <v>575</v>
      </c>
      <c r="J120" s="118" t="s">
        <v>1542</v>
      </c>
      <c r="K120" s="117" t="s">
        <v>1139</v>
      </c>
      <c r="L120" s="117" t="s">
        <v>966</v>
      </c>
      <c r="M120" s="117" t="s">
        <v>932</v>
      </c>
      <c r="N120" s="117" t="s">
        <v>932</v>
      </c>
      <c r="O120" s="117" t="s">
        <v>932</v>
      </c>
      <c r="P120" s="117" t="s">
        <v>934</v>
      </c>
      <c r="Q120" s="117" t="s">
        <v>934</v>
      </c>
      <c r="R120" s="117" t="s">
        <v>934</v>
      </c>
      <c r="S120" s="117" t="s">
        <v>934</v>
      </c>
      <c r="T120" s="119" t="s">
        <v>932</v>
      </c>
      <c r="U120" s="117" t="s">
        <v>932</v>
      </c>
      <c r="V120" s="117" t="s">
        <v>932</v>
      </c>
      <c r="W120" s="117" t="s">
        <v>932</v>
      </c>
      <c r="X120" s="117" t="s">
        <v>934</v>
      </c>
      <c r="Y120" s="117" t="s">
        <v>934</v>
      </c>
      <c r="Z120" s="117" t="s">
        <v>934</v>
      </c>
      <c r="AA120" s="117" t="s">
        <v>934</v>
      </c>
      <c r="AB120" s="117" t="s">
        <v>934</v>
      </c>
      <c r="AC120" s="117" t="s">
        <v>934</v>
      </c>
      <c r="AD120" s="117" t="s">
        <v>934</v>
      </c>
      <c r="AE120" s="117" t="s">
        <v>934</v>
      </c>
      <c r="AF120" s="117" t="s">
        <v>934</v>
      </c>
      <c r="AG120" s="117" t="s">
        <v>934</v>
      </c>
      <c r="AH120" s="117" t="s">
        <v>934</v>
      </c>
      <c r="AI120" s="117" t="s">
        <v>934</v>
      </c>
      <c r="AJ120" s="117" t="s">
        <v>943</v>
      </c>
      <c r="AK120" s="117" t="s">
        <v>1543</v>
      </c>
      <c r="AL120" s="117" t="s">
        <v>943</v>
      </c>
      <c r="AM120" s="117" t="s">
        <v>1088</v>
      </c>
      <c r="AN120" s="117" t="s">
        <v>932</v>
      </c>
      <c r="AO120" s="124"/>
    </row>
    <row r="121" spans="1:87" s="117" customFormat="1" ht="42">
      <c r="A121" s="114">
        <v>41738.550659722219</v>
      </c>
      <c r="B121" s="115">
        <v>41738.550659722219</v>
      </c>
      <c r="C121" s="114">
        <v>41738.565358796295</v>
      </c>
      <c r="D121" s="115">
        <v>41738.565358796295</v>
      </c>
      <c r="E121" s="116" t="s">
        <v>1544</v>
      </c>
      <c r="F121" s="122" t="s">
        <v>1545</v>
      </c>
      <c r="G121" s="117" t="s">
        <v>1546</v>
      </c>
      <c r="H121" s="117">
        <v>9895536119</v>
      </c>
      <c r="I121" s="117">
        <v>152</v>
      </c>
      <c r="J121" s="118" t="s">
        <v>1334</v>
      </c>
      <c r="K121" s="117" t="s">
        <v>1334</v>
      </c>
      <c r="L121" s="117" t="s">
        <v>931</v>
      </c>
      <c r="M121" s="117" t="s">
        <v>934</v>
      </c>
      <c r="N121" s="117" t="s">
        <v>932</v>
      </c>
      <c r="O121" s="117" t="s">
        <v>934</v>
      </c>
      <c r="P121" s="117" t="s">
        <v>934</v>
      </c>
      <c r="Q121" s="117" t="s">
        <v>934</v>
      </c>
      <c r="R121" s="117" t="s">
        <v>934</v>
      </c>
      <c r="S121" s="117" t="s">
        <v>934</v>
      </c>
      <c r="T121" s="119" t="s">
        <v>934</v>
      </c>
      <c r="U121" s="117" t="s">
        <v>934</v>
      </c>
      <c r="V121" s="117" t="s">
        <v>934</v>
      </c>
      <c r="W121" s="117" t="s">
        <v>934</v>
      </c>
      <c r="X121" s="117" t="s">
        <v>934</v>
      </c>
      <c r="Y121" s="117" t="s">
        <v>934</v>
      </c>
      <c r="Z121" s="117" t="s">
        <v>934</v>
      </c>
      <c r="AA121" s="117" t="s">
        <v>934</v>
      </c>
      <c r="AB121" s="117" t="s">
        <v>934</v>
      </c>
      <c r="AC121" s="117" t="s">
        <v>934</v>
      </c>
      <c r="AD121" s="117" t="s">
        <v>934</v>
      </c>
      <c r="AE121" s="117" t="s">
        <v>934</v>
      </c>
      <c r="AF121" s="117" t="s">
        <v>934</v>
      </c>
      <c r="AG121" s="117" t="s">
        <v>934</v>
      </c>
      <c r="AH121" s="117" t="s">
        <v>934</v>
      </c>
      <c r="AI121" s="117" t="s">
        <v>934</v>
      </c>
      <c r="AJ121" s="117" t="s">
        <v>943</v>
      </c>
      <c r="AK121" s="117" t="s">
        <v>1547</v>
      </c>
      <c r="AL121" s="117" t="s">
        <v>943</v>
      </c>
      <c r="AM121" s="117" t="s">
        <v>1548</v>
      </c>
      <c r="AN121" s="117" t="s">
        <v>932</v>
      </c>
      <c r="AO121" s="124"/>
    </row>
    <row r="122" spans="1:87" s="117" customFormat="1" ht="25.5">
      <c r="A122" s="114">
        <v>41738.614525462966</v>
      </c>
      <c r="B122" s="115">
        <v>41738.614525462966</v>
      </c>
      <c r="C122" s="114">
        <v>41738.617407407408</v>
      </c>
      <c r="D122" s="115">
        <v>41738.617407407408</v>
      </c>
      <c r="E122" s="116" t="s">
        <v>1549</v>
      </c>
      <c r="F122" s="122" t="s">
        <v>1550</v>
      </c>
      <c r="G122" s="117" t="s">
        <v>1551</v>
      </c>
      <c r="H122" s="117">
        <v>9895513339</v>
      </c>
      <c r="I122" s="117">
        <v>533</v>
      </c>
      <c r="J122" s="118" t="s">
        <v>998</v>
      </c>
      <c r="K122" s="117" t="s">
        <v>1263</v>
      </c>
      <c r="L122" s="117" t="s">
        <v>931</v>
      </c>
      <c r="M122" s="117" t="s">
        <v>932</v>
      </c>
      <c r="N122" s="117" t="s">
        <v>932</v>
      </c>
      <c r="O122" s="117" t="s">
        <v>932</v>
      </c>
      <c r="P122" s="117" t="s">
        <v>932</v>
      </c>
      <c r="Q122" s="117" t="s">
        <v>934</v>
      </c>
      <c r="R122" s="117" t="s">
        <v>934</v>
      </c>
      <c r="S122" s="117" t="s">
        <v>934</v>
      </c>
      <c r="T122" s="119" t="s">
        <v>932</v>
      </c>
      <c r="U122" s="117" t="s">
        <v>932</v>
      </c>
      <c r="V122" s="117" t="s">
        <v>932</v>
      </c>
      <c r="W122" s="117" t="s">
        <v>932</v>
      </c>
      <c r="X122" s="117" t="s">
        <v>934</v>
      </c>
      <c r="Y122" s="117" t="s">
        <v>934</v>
      </c>
      <c r="Z122" s="117" t="s">
        <v>934</v>
      </c>
      <c r="AA122" s="117" t="s">
        <v>934</v>
      </c>
      <c r="AB122" s="117" t="s">
        <v>934</v>
      </c>
      <c r="AC122" s="117" t="s">
        <v>934</v>
      </c>
      <c r="AD122" s="117" t="s">
        <v>934</v>
      </c>
      <c r="AE122" s="117" t="s">
        <v>934</v>
      </c>
      <c r="AF122" s="117" t="s">
        <v>934</v>
      </c>
      <c r="AG122" s="117" t="s">
        <v>934</v>
      </c>
      <c r="AH122" s="117" t="s">
        <v>934</v>
      </c>
      <c r="AI122" s="117" t="s">
        <v>934</v>
      </c>
      <c r="AJ122" s="117" t="s">
        <v>943</v>
      </c>
      <c r="AK122" s="117" t="s">
        <v>1135</v>
      </c>
      <c r="AL122" s="117" t="s">
        <v>943</v>
      </c>
      <c r="AM122" s="117" t="s">
        <v>1088</v>
      </c>
      <c r="AN122" s="117" t="s">
        <v>932</v>
      </c>
      <c r="AO122" s="124"/>
    </row>
    <row r="123" spans="1:87" s="117" customFormat="1" ht="25.5">
      <c r="A123" s="114">
        <v>41738.61822916667</v>
      </c>
      <c r="B123" s="115">
        <v>41738.61822916667</v>
      </c>
      <c r="C123" s="114">
        <v>41738.628217592595</v>
      </c>
      <c r="D123" s="115">
        <v>41738.628217592595</v>
      </c>
      <c r="E123" s="116" t="s">
        <v>1552</v>
      </c>
      <c r="F123" s="122" t="s">
        <v>1550</v>
      </c>
      <c r="G123" s="117" t="s">
        <v>1551</v>
      </c>
      <c r="H123" s="117">
        <v>9895513339</v>
      </c>
      <c r="I123" s="117">
        <v>534</v>
      </c>
      <c r="J123" s="118" t="s">
        <v>1347</v>
      </c>
      <c r="K123" s="117" t="s">
        <v>1139</v>
      </c>
      <c r="L123" s="117" t="s">
        <v>966</v>
      </c>
      <c r="M123" s="117" t="s">
        <v>932</v>
      </c>
      <c r="N123" s="117" t="s">
        <v>932</v>
      </c>
      <c r="O123" s="117" t="s">
        <v>932</v>
      </c>
      <c r="P123" s="117" t="s">
        <v>932</v>
      </c>
      <c r="Q123" s="117" t="s">
        <v>934</v>
      </c>
      <c r="R123" s="117" t="s">
        <v>934</v>
      </c>
      <c r="S123" s="117" t="s">
        <v>934</v>
      </c>
      <c r="T123" s="119" t="s">
        <v>932</v>
      </c>
      <c r="U123" s="117" t="s">
        <v>932</v>
      </c>
      <c r="V123" s="117" t="s">
        <v>932</v>
      </c>
      <c r="W123" s="117" t="s">
        <v>932</v>
      </c>
      <c r="X123" s="117" t="s">
        <v>934</v>
      </c>
      <c r="Y123" s="117" t="s">
        <v>934</v>
      </c>
      <c r="Z123" s="117" t="s">
        <v>934</v>
      </c>
      <c r="AA123" s="117" t="s">
        <v>934</v>
      </c>
      <c r="AB123" s="117" t="s">
        <v>934</v>
      </c>
      <c r="AC123" s="117" t="s">
        <v>934</v>
      </c>
      <c r="AD123" s="117" t="s">
        <v>934</v>
      </c>
      <c r="AE123" s="117" t="s">
        <v>934</v>
      </c>
      <c r="AF123" s="117" t="s">
        <v>934</v>
      </c>
      <c r="AG123" s="117" t="s">
        <v>934</v>
      </c>
      <c r="AH123" s="117" t="s">
        <v>934</v>
      </c>
      <c r="AI123" s="117" t="s">
        <v>934</v>
      </c>
      <c r="AJ123" s="117" t="s">
        <v>943</v>
      </c>
      <c r="AK123" s="117" t="s">
        <v>1553</v>
      </c>
      <c r="AL123" s="117" t="s">
        <v>943</v>
      </c>
      <c r="AM123" s="117" t="s">
        <v>1088</v>
      </c>
      <c r="AN123" s="117" t="s">
        <v>932</v>
      </c>
      <c r="AO123" s="117" t="s">
        <v>1554</v>
      </c>
    </row>
    <row r="124" spans="1:87" s="117" customFormat="1" ht="25.5">
      <c r="A124" s="114">
        <v>41738.637187499997</v>
      </c>
      <c r="B124" s="115">
        <v>41738.637187499997</v>
      </c>
      <c r="C124" s="114">
        <v>41738.639826388891</v>
      </c>
      <c r="D124" s="115">
        <v>41738.639826388891</v>
      </c>
      <c r="E124" s="116" t="s">
        <v>1555</v>
      </c>
      <c r="F124" s="122" t="s">
        <v>1550</v>
      </c>
      <c r="G124" s="117" t="s">
        <v>1551</v>
      </c>
      <c r="H124" s="117">
        <v>9895513339</v>
      </c>
      <c r="I124" s="117">
        <v>536</v>
      </c>
      <c r="J124" s="118" t="s">
        <v>964</v>
      </c>
      <c r="K124" s="117" t="s">
        <v>1139</v>
      </c>
      <c r="L124" s="117" t="s">
        <v>966</v>
      </c>
      <c r="M124" s="117" t="s">
        <v>932</v>
      </c>
      <c r="N124" s="117" t="s">
        <v>932</v>
      </c>
      <c r="O124" s="117" t="s">
        <v>932</v>
      </c>
      <c r="P124" s="117" t="s">
        <v>934</v>
      </c>
      <c r="Q124" s="117" t="s">
        <v>934</v>
      </c>
      <c r="R124" s="117" t="s">
        <v>934</v>
      </c>
      <c r="S124" s="117" t="s">
        <v>934</v>
      </c>
      <c r="T124" s="119" t="s">
        <v>934</v>
      </c>
      <c r="U124" s="117" t="s">
        <v>932</v>
      </c>
      <c r="V124" s="117" t="s">
        <v>932</v>
      </c>
      <c r="W124" s="117" t="s">
        <v>932</v>
      </c>
      <c r="X124" s="117" t="s">
        <v>934</v>
      </c>
      <c r="Y124" s="117" t="s">
        <v>934</v>
      </c>
      <c r="Z124" s="117" t="s">
        <v>934</v>
      </c>
      <c r="AA124" s="117" t="s">
        <v>934</v>
      </c>
      <c r="AB124" s="117" t="s">
        <v>934</v>
      </c>
      <c r="AC124" s="117" t="s">
        <v>934</v>
      </c>
      <c r="AD124" s="117" t="s">
        <v>934</v>
      </c>
      <c r="AE124" s="117" t="s">
        <v>934</v>
      </c>
      <c r="AF124" s="117" t="s">
        <v>934</v>
      </c>
      <c r="AG124" s="117" t="s">
        <v>934</v>
      </c>
      <c r="AH124" s="117" t="s">
        <v>934</v>
      </c>
      <c r="AI124" s="117" t="s">
        <v>934</v>
      </c>
      <c r="AJ124" s="117" t="s">
        <v>943</v>
      </c>
      <c r="AK124" s="117" t="s">
        <v>1498</v>
      </c>
      <c r="AL124" s="117" t="s">
        <v>943</v>
      </c>
      <c r="AM124" s="117" t="s">
        <v>1088</v>
      </c>
      <c r="AN124" s="117" t="s">
        <v>932</v>
      </c>
      <c r="AO124" s="117" t="s">
        <v>1556</v>
      </c>
    </row>
    <row r="125" spans="1:87" s="117" customFormat="1" ht="25.5">
      <c r="A125" s="114">
        <v>41738.640520833331</v>
      </c>
      <c r="B125" s="115">
        <v>41738.640520833331</v>
      </c>
      <c r="C125" s="114">
        <v>41738.642060185186</v>
      </c>
      <c r="D125" s="115">
        <v>41738.642060185186</v>
      </c>
      <c r="E125" s="116" t="s">
        <v>1557</v>
      </c>
      <c r="F125" s="122" t="s">
        <v>1352</v>
      </c>
      <c r="G125" s="117" t="s">
        <v>1551</v>
      </c>
      <c r="H125" s="117">
        <v>9895513339</v>
      </c>
      <c r="I125" s="117">
        <v>538</v>
      </c>
      <c r="J125" s="118" t="s">
        <v>1144</v>
      </c>
      <c r="K125" s="117" t="s">
        <v>1006</v>
      </c>
      <c r="L125" s="117" t="s">
        <v>966</v>
      </c>
      <c r="M125" s="117" t="s">
        <v>932</v>
      </c>
      <c r="N125" s="117" t="s">
        <v>932</v>
      </c>
      <c r="O125" s="117" t="s">
        <v>932</v>
      </c>
      <c r="P125" s="117" t="s">
        <v>932</v>
      </c>
      <c r="Q125" s="117" t="s">
        <v>934</v>
      </c>
      <c r="R125" s="117" t="s">
        <v>932</v>
      </c>
      <c r="S125" s="117" t="s">
        <v>932</v>
      </c>
      <c r="T125" s="119" t="s">
        <v>932</v>
      </c>
      <c r="U125" s="117" t="s">
        <v>932</v>
      </c>
      <c r="V125" s="117" t="s">
        <v>932</v>
      </c>
      <c r="W125" s="117" t="s">
        <v>932</v>
      </c>
      <c r="X125" s="117" t="s">
        <v>934</v>
      </c>
      <c r="Y125" s="117" t="s">
        <v>934</v>
      </c>
      <c r="Z125" s="117" t="s">
        <v>934</v>
      </c>
      <c r="AA125" s="117" t="s">
        <v>934</v>
      </c>
      <c r="AB125" s="117" t="s">
        <v>934</v>
      </c>
      <c r="AC125" s="117" t="s">
        <v>934</v>
      </c>
      <c r="AD125" s="117" t="s">
        <v>934</v>
      </c>
      <c r="AE125" s="117" t="s">
        <v>934</v>
      </c>
      <c r="AF125" s="117" t="s">
        <v>934</v>
      </c>
      <c r="AG125" s="117" t="s">
        <v>934</v>
      </c>
      <c r="AH125" s="117" t="s">
        <v>934</v>
      </c>
      <c r="AI125" s="117" t="s">
        <v>934</v>
      </c>
      <c r="AJ125" s="117" t="s">
        <v>943</v>
      </c>
      <c r="AK125" s="117" t="s">
        <v>1176</v>
      </c>
      <c r="AL125" s="117" t="s">
        <v>943</v>
      </c>
      <c r="AM125" s="117" t="s">
        <v>1088</v>
      </c>
      <c r="AN125" s="117" t="s">
        <v>932</v>
      </c>
      <c r="AO125" s="117" t="s">
        <v>1558</v>
      </c>
    </row>
    <row r="126" spans="1:87" s="117" customFormat="1" ht="25.5">
      <c r="A126" s="114">
        <v>41738.642847222225</v>
      </c>
      <c r="B126" s="115">
        <v>41738.642847222225</v>
      </c>
      <c r="C126" s="114">
        <v>41738.657384259262</v>
      </c>
      <c r="D126" s="115">
        <v>41738.657384259262</v>
      </c>
      <c r="E126" s="116" t="s">
        <v>1559</v>
      </c>
      <c r="F126" s="122" t="s">
        <v>1550</v>
      </c>
      <c r="G126" s="117" t="s">
        <v>1551</v>
      </c>
      <c r="H126" s="117">
        <v>9895513339</v>
      </c>
      <c r="I126" s="117">
        <v>537</v>
      </c>
      <c r="J126" s="118" t="s">
        <v>1560</v>
      </c>
      <c r="K126" s="117" t="s">
        <v>977</v>
      </c>
      <c r="L126" s="117" t="s">
        <v>966</v>
      </c>
      <c r="M126" s="117" t="s">
        <v>932</v>
      </c>
      <c r="N126" s="117" t="s">
        <v>932</v>
      </c>
      <c r="O126" s="117" t="s">
        <v>932</v>
      </c>
      <c r="P126" s="117" t="s">
        <v>932</v>
      </c>
      <c r="Q126" s="117" t="s">
        <v>934</v>
      </c>
      <c r="R126" s="117" t="s">
        <v>932</v>
      </c>
      <c r="S126" s="117" t="s">
        <v>932</v>
      </c>
      <c r="T126" s="119" t="s">
        <v>934</v>
      </c>
      <c r="U126" s="117" t="s">
        <v>932</v>
      </c>
      <c r="V126" s="117" t="s">
        <v>932</v>
      </c>
      <c r="W126" s="117" t="s">
        <v>932</v>
      </c>
      <c r="X126" s="117" t="s">
        <v>934</v>
      </c>
      <c r="Y126" s="117" t="s">
        <v>934</v>
      </c>
      <c r="Z126" s="117" t="s">
        <v>934</v>
      </c>
      <c r="AA126" s="117" t="s">
        <v>934</v>
      </c>
      <c r="AB126" s="117" t="s">
        <v>934</v>
      </c>
      <c r="AC126" s="117" t="s">
        <v>934</v>
      </c>
      <c r="AD126" s="117" t="s">
        <v>934</v>
      </c>
      <c r="AE126" s="117" t="s">
        <v>934</v>
      </c>
      <c r="AF126" s="117" t="s">
        <v>934</v>
      </c>
      <c r="AG126" s="117" t="s">
        <v>934</v>
      </c>
      <c r="AH126" s="117" t="s">
        <v>934</v>
      </c>
      <c r="AI126" s="117" t="s">
        <v>934</v>
      </c>
      <c r="AJ126" s="117" t="s">
        <v>943</v>
      </c>
      <c r="AK126" s="117" t="s">
        <v>1561</v>
      </c>
      <c r="AL126" s="117" t="s">
        <v>943</v>
      </c>
      <c r="AM126" s="117" t="s">
        <v>1088</v>
      </c>
      <c r="AN126" s="117" t="s">
        <v>932</v>
      </c>
      <c r="AO126" s="124"/>
    </row>
    <row r="127" spans="1:87" s="117" customFormat="1" ht="25.5">
      <c r="A127" s="114">
        <v>41738.673993055556</v>
      </c>
      <c r="B127" s="115">
        <v>41738.673993055556</v>
      </c>
      <c r="C127" s="114">
        <v>41738.676388888889</v>
      </c>
      <c r="D127" s="115">
        <v>41738.676388888889</v>
      </c>
      <c r="E127" s="116" t="s">
        <v>1293</v>
      </c>
      <c r="F127" s="122" t="s">
        <v>1562</v>
      </c>
      <c r="G127" s="117" t="s">
        <v>1295</v>
      </c>
      <c r="H127" s="117">
        <v>9895501517</v>
      </c>
      <c r="I127" s="117">
        <v>604</v>
      </c>
      <c r="J127" s="118" t="s">
        <v>964</v>
      </c>
      <c r="K127" s="117" t="s">
        <v>1139</v>
      </c>
      <c r="L127" s="117" t="s">
        <v>966</v>
      </c>
      <c r="M127" s="117" t="s">
        <v>932</v>
      </c>
      <c r="N127" s="117" t="s">
        <v>932</v>
      </c>
      <c r="O127" s="117" t="s">
        <v>932</v>
      </c>
      <c r="P127" s="117" t="s">
        <v>934</v>
      </c>
      <c r="Q127" s="117" t="s">
        <v>934</v>
      </c>
      <c r="R127" s="117" t="s">
        <v>934</v>
      </c>
      <c r="S127" s="117" t="s">
        <v>934</v>
      </c>
      <c r="T127" s="119" t="s">
        <v>932</v>
      </c>
      <c r="U127" s="117" t="s">
        <v>932</v>
      </c>
      <c r="V127" s="117" t="s">
        <v>932</v>
      </c>
      <c r="W127" s="117" t="s">
        <v>932</v>
      </c>
      <c r="X127" s="117" t="s">
        <v>934</v>
      </c>
      <c r="Y127" s="117" t="s">
        <v>934</v>
      </c>
      <c r="Z127" s="117" t="s">
        <v>934</v>
      </c>
      <c r="AA127" s="117" t="s">
        <v>934</v>
      </c>
      <c r="AB127" s="117" t="s">
        <v>934</v>
      </c>
      <c r="AC127" s="117" t="s">
        <v>934</v>
      </c>
      <c r="AD127" s="117" t="s">
        <v>934</v>
      </c>
      <c r="AE127" s="117" t="s">
        <v>934</v>
      </c>
      <c r="AF127" s="117" t="s">
        <v>934</v>
      </c>
      <c r="AG127" s="117" t="s">
        <v>934</v>
      </c>
      <c r="AH127" s="117" t="s">
        <v>934</v>
      </c>
      <c r="AI127" s="117" t="s">
        <v>934</v>
      </c>
      <c r="AJ127" s="117" t="s">
        <v>943</v>
      </c>
      <c r="AK127" s="117" t="s">
        <v>1063</v>
      </c>
      <c r="AL127" s="117" t="s">
        <v>943</v>
      </c>
      <c r="AM127" s="117" t="s">
        <v>1300</v>
      </c>
      <c r="AN127" s="117" t="s">
        <v>932</v>
      </c>
      <c r="AO127" s="124"/>
      <c r="AP127" s="117" t="s">
        <v>1080</v>
      </c>
      <c r="AQ127" s="117" t="s">
        <v>1265</v>
      </c>
      <c r="AR127" s="117" t="s">
        <v>943</v>
      </c>
      <c r="AS127" s="117" t="s">
        <v>943</v>
      </c>
      <c r="AT127" s="117" t="s">
        <v>933</v>
      </c>
      <c r="AU127" s="117" t="s">
        <v>933</v>
      </c>
      <c r="AV127" s="117" t="s">
        <v>932</v>
      </c>
      <c r="AW127" s="117">
        <v>2.5</v>
      </c>
      <c r="AX127" s="117" t="s">
        <v>932</v>
      </c>
      <c r="AY127" s="117">
        <v>0.4</v>
      </c>
      <c r="AZ127" s="117">
        <v>0.4</v>
      </c>
      <c r="BA127" s="117" t="s">
        <v>932</v>
      </c>
      <c r="BB127" s="117" t="s">
        <v>933</v>
      </c>
      <c r="BC127" s="117" t="s">
        <v>932</v>
      </c>
      <c r="BD127" s="117" t="s">
        <v>932</v>
      </c>
      <c r="BE127" s="117" t="s">
        <v>932</v>
      </c>
      <c r="BF127" s="117">
        <v>1</v>
      </c>
      <c r="BG127" s="117" t="s">
        <v>932</v>
      </c>
      <c r="BH127" s="117">
        <v>15</v>
      </c>
      <c r="BI127" s="117" t="s">
        <v>1296</v>
      </c>
      <c r="BJ127" s="117" t="s">
        <v>932</v>
      </c>
      <c r="BK127" s="117" t="s">
        <v>932</v>
      </c>
      <c r="BL127" s="117">
        <v>1</v>
      </c>
      <c r="BM127" s="117" t="s">
        <v>932</v>
      </c>
      <c r="BN127" s="117" t="s">
        <v>932</v>
      </c>
      <c r="BP127" s="117">
        <v>2</v>
      </c>
      <c r="BQ127" s="117" t="s">
        <v>932</v>
      </c>
      <c r="BR127" s="117">
        <v>50</v>
      </c>
      <c r="BS127" s="117">
        <v>500</v>
      </c>
      <c r="BT127" s="117" t="s">
        <v>946</v>
      </c>
      <c r="BU127" s="117" t="s">
        <v>932</v>
      </c>
      <c r="BV127" s="117">
        <v>604</v>
      </c>
      <c r="BW127" s="117" t="s">
        <v>1297</v>
      </c>
      <c r="BX127" s="117">
        <v>6.05</v>
      </c>
      <c r="BY127" s="117" t="s">
        <v>190</v>
      </c>
      <c r="CB127" s="117" t="s">
        <v>932</v>
      </c>
      <c r="CC127" s="117" t="s">
        <v>1443</v>
      </c>
      <c r="CD127" s="117" t="s">
        <v>932</v>
      </c>
      <c r="CE127" s="117" t="s">
        <v>932</v>
      </c>
      <c r="CF127" s="117">
        <v>30</v>
      </c>
      <c r="CG127" s="117">
        <v>0</v>
      </c>
      <c r="CH127" s="117" t="s">
        <v>932</v>
      </c>
      <c r="CI127" s="117" t="s">
        <v>932</v>
      </c>
    </row>
    <row r="128" spans="1:87" s="117" customFormat="1" ht="25.5">
      <c r="A128" s="114">
        <v>41738.682673611111</v>
      </c>
      <c r="B128" s="115">
        <v>41738.682673611111</v>
      </c>
      <c r="C128" s="114">
        <v>41738.68414351852</v>
      </c>
      <c r="D128" s="115">
        <v>41738.68414351852</v>
      </c>
      <c r="E128" s="116" t="s">
        <v>1563</v>
      </c>
      <c r="F128" s="122" t="s">
        <v>1562</v>
      </c>
      <c r="G128" s="117" t="s">
        <v>1295</v>
      </c>
      <c r="H128" s="117">
        <v>9895501517</v>
      </c>
      <c r="I128" s="117">
        <v>606</v>
      </c>
      <c r="J128" s="118" t="s">
        <v>1023</v>
      </c>
      <c r="K128" s="117" t="s">
        <v>977</v>
      </c>
      <c r="L128" s="117" t="s">
        <v>966</v>
      </c>
      <c r="M128" s="117" t="s">
        <v>932</v>
      </c>
      <c r="N128" s="117" t="s">
        <v>932</v>
      </c>
      <c r="O128" s="117" t="s">
        <v>932</v>
      </c>
      <c r="P128" s="117" t="s">
        <v>934</v>
      </c>
      <c r="Q128" s="117" t="s">
        <v>934</v>
      </c>
      <c r="R128" s="117" t="s">
        <v>934</v>
      </c>
      <c r="S128" s="117" t="s">
        <v>934</v>
      </c>
      <c r="T128" s="119" t="s">
        <v>932</v>
      </c>
      <c r="U128" s="117" t="s">
        <v>932</v>
      </c>
      <c r="V128" s="117" t="s">
        <v>932</v>
      </c>
      <c r="W128" s="117" t="s">
        <v>932</v>
      </c>
      <c r="X128" s="117" t="s">
        <v>934</v>
      </c>
      <c r="Y128" s="117" t="s">
        <v>934</v>
      </c>
      <c r="Z128" s="117" t="s">
        <v>934</v>
      </c>
      <c r="AA128" s="117" t="s">
        <v>934</v>
      </c>
      <c r="AB128" s="117" t="s">
        <v>934</v>
      </c>
      <c r="AC128" s="117" t="s">
        <v>934</v>
      </c>
      <c r="AD128" s="117" t="s">
        <v>934</v>
      </c>
      <c r="AE128" s="117" t="s">
        <v>934</v>
      </c>
      <c r="AF128" s="117" t="s">
        <v>934</v>
      </c>
      <c r="AG128" s="117" t="s">
        <v>934</v>
      </c>
      <c r="AH128" s="117" t="s">
        <v>934</v>
      </c>
      <c r="AI128" s="117" t="s">
        <v>934</v>
      </c>
      <c r="AJ128" s="117" t="s">
        <v>943</v>
      </c>
      <c r="AK128" s="117" t="s">
        <v>1564</v>
      </c>
      <c r="AL128" s="117" t="s">
        <v>943</v>
      </c>
      <c r="AM128" s="117" t="s">
        <v>1088</v>
      </c>
      <c r="AN128" s="117" t="s">
        <v>932</v>
      </c>
      <c r="AO128" s="124"/>
    </row>
    <row r="129" spans="1:41" s="117" customFormat="1" ht="25.5">
      <c r="A129" s="114">
        <v>41738.684675925928</v>
      </c>
      <c r="B129" s="115">
        <v>41738.684675925928</v>
      </c>
      <c r="C129" s="114">
        <v>41738.688414351855</v>
      </c>
      <c r="D129" s="115">
        <v>41738.688414351855</v>
      </c>
      <c r="E129" s="116" t="s">
        <v>1565</v>
      </c>
      <c r="F129" s="122" t="s">
        <v>1562</v>
      </c>
      <c r="G129" s="117" t="s">
        <v>1295</v>
      </c>
      <c r="H129" s="117">
        <v>9895501517</v>
      </c>
      <c r="I129" s="117">
        <v>605</v>
      </c>
      <c r="J129" s="118" t="s">
        <v>1023</v>
      </c>
      <c r="K129" s="117" t="s">
        <v>977</v>
      </c>
      <c r="L129" s="117" t="s">
        <v>966</v>
      </c>
      <c r="M129" s="117" t="s">
        <v>933</v>
      </c>
      <c r="N129" s="117" t="s">
        <v>932</v>
      </c>
      <c r="O129" s="117" t="s">
        <v>932</v>
      </c>
      <c r="P129" s="117" t="s">
        <v>934</v>
      </c>
      <c r="Q129" s="117" t="s">
        <v>934</v>
      </c>
      <c r="R129" s="117" t="s">
        <v>934</v>
      </c>
      <c r="S129" s="117" t="s">
        <v>934</v>
      </c>
      <c r="T129" s="119" t="s">
        <v>932</v>
      </c>
      <c r="U129" s="117" t="s">
        <v>932</v>
      </c>
      <c r="V129" s="117" t="s">
        <v>932</v>
      </c>
      <c r="W129" s="117" t="s">
        <v>932</v>
      </c>
      <c r="X129" s="117" t="s">
        <v>934</v>
      </c>
      <c r="Y129" s="117" t="s">
        <v>934</v>
      </c>
      <c r="Z129" s="117" t="s">
        <v>934</v>
      </c>
      <c r="AA129" s="117" t="s">
        <v>934</v>
      </c>
      <c r="AB129" s="117" t="s">
        <v>934</v>
      </c>
      <c r="AC129" s="117" t="s">
        <v>934</v>
      </c>
      <c r="AD129" s="117" t="s">
        <v>934</v>
      </c>
      <c r="AE129" s="117" t="s">
        <v>934</v>
      </c>
      <c r="AF129" s="117" t="s">
        <v>934</v>
      </c>
      <c r="AG129" s="117" t="s">
        <v>934</v>
      </c>
      <c r="AH129" s="117" t="s">
        <v>934</v>
      </c>
      <c r="AI129" s="117" t="s">
        <v>934</v>
      </c>
      <c r="AJ129" s="117" t="s">
        <v>943</v>
      </c>
      <c r="AK129" s="117" t="s">
        <v>1566</v>
      </c>
      <c r="AL129" s="117" t="s">
        <v>943</v>
      </c>
      <c r="AM129" s="117" t="s">
        <v>1088</v>
      </c>
      <c r="AN129" s="117" t="s">
        <v>932</v>
      </c>
      <c r="AO129" s="124"/>
    </row>
    <row r="130" spans="1:41" s="117" customFormat="1" ht="25.5">
      <c r="A130" s="114">
        <v>41738.697013888886</v>
      </c>
      <c r="B130" s="115">
        <v>41738.697013888886</v>
      </c>
      <c r="C130" s="114">
        <v>41738.699201388888</v>
      </c>
      <c r="D130" s="115">
        <v>41738.699201388888</v>
      </c>
      <c r="E130" s="116" t="s">
        <v>1567</v>
      </c>
      <c r="F130" s="122" t="s">
        <v>1562</v>
      </c>
      <c r="G130" s="117" t="s">
        <v>1295</v>
      </c>
      <c r="H130" s="117">
        <v>9895501517</v>
      </c>
      <c r="I130" s="117">
        <v>603</v>
      </c>
      <c r="J130" s="118" t="s">
        <v>1144</v>
      </c>
      <c r="K130" s="117" t="s">
        <v>1006</v>
      </c>
      <c r="L130" s="117" t="s">
        <v>966</v>
      </c>
      <c r="M130" s="117" t="s">
        <v>932</v>
      </c>
      <c r="N130" s="117" t="s">
        <v>932</v>
      </c>
      <c r="O130" s="117" t="s">
        <v>932</v>
      </c>
      <c r="P130" s="117" t="s">
        <v>934</v>
      </c>
      <c r="Q130" s="117" t="s">
        <v>934</v>
      </c>
      <c r="R130" s="117" t="s">
        <v>934</v>
      </c>
      <c r="S130" s="117" t="s">
        <v>934</v>
      </c>
      <c r="T130" s="119" t="s">
        <v>932</v>
      </c>
      <c r="U130" s="117" t="s">
        <v>932</v>
      </c>
      <c r="V130" s="117" t="s">
        <v>932</v>
      </c>
      <c r="W130" s="117" t="s">
        <v>932</v>
      </c>
      <c r="X130" s="117" t="s">
        <v>934</v>
      </c>
      <c r="Y130" s="117" t="s">
        <v>934</v>
      </c>
      <c r="Z130" s="117" t="s">
        <v>934</v>
      </c>
      <c r="AA130" s="117" t="s">
        <v>934</v>
      </c>
      <c r="AB130" s="117" t="s">
        <v>934</v>
      </c>
      <c r="AC130" s="117" t="s">
        <v>934</v>
      </c>
      <c r="AD130" s="117" t="s">
        <v>934</v>
      </c>
      <c r="AE130" s="117" t="s">
        <v>934</v>
      </c>
      <c r="AF130" s="117" t="s">
        <v>934</v>
      </c>
      <c r="AG130" s="117" t="s">
        <v>934</v>
      </c>
      <c r="AH130" s="117" t="s">
        <v>934</v>
      </c>
      <c r="AI130" s="117" t="s">
        <v>934</v>
      </c>
      <c r="AJ130" s="117" t="s">
        <v>943</v>
      </c>
      <c r="AK130" s="117" t="s">
        <v>1176</v>
      </c>
      <c r="AL130" s="117" t="s">
        <v>943</v>
      </c>
      <c r="AM130" s="117" t="s">
        <v>1088</v>
      </c>
      <c r="AN130" s="117" t="s">
        <v>932</v>
      </c>
      <c r="AO130" s="124"/>
    </row>
    <row r="131" spans="1:41" s="117" customFormat="1" ht="25.5">
      <c r="A131" s="114">
        <v>41739.650543981479</v>
      </c>
      <c r="B131" s="115">
        <v>41739.650543981479</v>
      </c>
      <c r="C131" s="114">
        <v>41739.650613425925</v>
      </c>
      <c r="D131" s="115">
        <v>41739.650613425925</v>
      </c>
      <c r="E131" s="116" t="s">
        <v>1568</v>
      </c>
      <c r="F131" s="117" t="s">
        <v>637</v>
      </c>
      <c r="G131" s="117" t="s">
        <v>1569</v>
      </c>
      <c r="H131" s="124"/>
      <c r="I131" s="117">
        <v>204</v>
      </c>
      <c r="J131" s="118" t="s">
        <v>998</v>
      </c>
      <c r="K131" s="117" t="s">
        <v>1450</v>
      </c>
      <c r="L131" s="117" t="s">
        <v>931</v>
      </c>
      <c r="M131" s="117" t="s">
        <v>932</v>
      </c>
      <c r="N131" s="117" t="s">
        <v>932</v>
      </c>
      <c r="O131" s="117" t="s">
        <v>932</v>
      </c>
      <c r="P131" s="117" t="s">
        <v>932</v>
      </c>
      <c r="Q131" s="117" t="s">
        <v>932</v>
      </c>
      <c r="R131" s="117" t="s">
        <v>932</v>
      </c>
      <c r="S131" s="117" t="s">
        <v>932</v>
      </c>
      <c r="T131" s="119" t="s">
        <v>932</v>
      </c>
      <c r="U131" s="117" t="s">
        <v>932</v>
      </c>
      <c r="V131" s="117" t="s">
        <v>932</v>
      </c>
      <c r="W131" s="117" t="s">
        <v>932</v>
      </c>
      <c r="X131" s="117" t="s">
        <v>934</v>
      </c>
      <c r="Y131" s="117" t="s">
        <v>934</v>
      </c>
      <c r="Z131" s="117" t="s">
        <v>934</v>
      </c>
      <c r="AA131" s="117" t="s">
        <v>932</v>
      </c>
      <c r="AB131" s="117" t="s">
        <v>932</v>
      </c>
      <c r="AC131" s="117" t="s">
        <v>932</v>
      </c>
      <c r="AD131" s="117" t="s">
        <v>934</v>
      </c>
      <c r="AE131" s="117" t="s">
        <v>934</v>
      </c>
      <c r="AF131" s="117" t="s">
        <v>933</v>
      </c>
      <c r="AG131" s="117" t="s">
        <v>932</v>
      </c>
      <c r="AH131" s="117" t="s">
        <v>933</v>
      </c>
      <c r="AI131" s="117" t="s">
        <v>933</v>
      </c>
      <c r="AJ131" s="117" t="s">
        <v>943</v>
      </c>
      <c r="AK131" s="117" t="s">
        <v>1570</v>
      </c>
      <c r="AL131" s="117" t="s">
        <v>943</v>
      </c>
      <c r="AM131" s="117" t="s">
        <v>1571</v>
      </c>
      <c r="AN131" s="117" t="s">
        <v>932</v>
      </c>
      <c r="AO131" s="117" t="s">
        <v>1572</v>
      </c>
    </row>
    <row r="132" spans="1:41" s="117" customFormat="1" ht="25.5">
      <c r="A132" s="114">
        <v>41739.652858796297</v>
      </c>
      <c r="B132" s="115">
        <v>41739.652858796297</v>
      </c>
      <c r="C132" s="114">
        <v>41739.652870370373</v>
      </c>
      <c r="D132" s="115">
        <v>41739.652870370373</v>
      </c>
      <c r="E132" s="116" t="s">
        <v>1573</v>
      </c>
      <c r="F132" s="117" t="s">
        <v>637</v>
      </c>
      <c r="G132" s="117" t="s">
        <v>1574</v>
      </c>
      <c r="H132" s="124"/>
      <c r="I132" s="117">
        <v>206</v>
      </c>
      <c r="J132" s="118" t="s">
        <v>998</v>
      </c>
      <c r="K132" s="117" t="s">
        <v>1450</v>
      </c>
      <c r="L132" s="117" t="s">
        <v>931</v>
      </c>
      <c r="M132" s="117" t="s">
        <v>932</v>
      </c>
      <c r="N132" s="117" t="s">
        <v>932</v>
      </c>
      <c r="O132" s="117" t="s">
        <v>932</v>
      </c>
      <c r="P132" s="117" t="s">
        <v>932</v>
      </c>
      <c r="Q132" s="117" t="s">
        <v>932</v>
      </c>
      <c r="R132" s="117" t="s">
        <v>932</v>
      </c>
      <c r="S132" s="117" t="s">
        <v>932</v>
      </c>
      <c r="T132" s="119" t="s">
        <v>932</v>
      </c>
      <c r="U132" s="117" t="s">
        <v>932</v>
      </c>
      <c r="V132" s="117" t="s">
        <v>932</v>
      </c>
      <c r="W132" s="117" t="s">
        <v>932</v>
      </c>
      <c r="X132" s="117" t="s">
        <v>934</v>
      </c>
      <c r="Y132" s="117" t="s">
        <v>934</v>
      </c>
      <c r="Z132" s="117" t="s">
        <v>934</v>
      </c>
      <c r="AA132" s="117" t="s">
        <v>932</v>
      </c>
      <c r="AB132" s="117" t="s">
        <v>932</v>
      </c>
      <c r="AC132" s="117" t="s">
        <v>932</v>
      </c>
      <c r="AD132" s="117" t="s">
        <v>934</v>
      </c>
      <c r="AE132" s="117" t="s">
        <v>934</v>
      </c>
      <c r="AF132" s="117" t="s">
        <v>933</v>
      </c>
      <c r="AG132" s="117" t="s">
        <v>932</v>
      </c>
      <c r="AH132" s="117" t="s">
        <v>933</v>
      </c>
      <c r="AI132" s="117" t="s">
        <v>934</v>
      </c>
      <c r="AJ132" s="117" t="s">
        <v>1037</v>
      </c>
      <c r="AK132" s="117" t="s">
        <v>1575</v>
      </c>
      <c r="AL132" s="117" t="s">
        <v>943</v>
      </c>
      <c r="AM132" s="117" t="s">
        <v>1571</v>
      </c>
      <c r="AN132" s="117" t="s">
        <v>932</v>
      </c>
      <c r="AO132" s="117" t="s">
        <v>1576</v>
      </c>
    </row>
    <row r="133" spans="1:41" s="117" customFormat="1" ht="25.5">
      <c r="A133" s="114">
        <v>41739.655243055553</v>
      </c>
      <c r="B133" s="115">
        <v>41739.655243055553</v>
      </c>
      <c r="C133" s="114">
        <v>41739.655266203707</v>
      </c>
      <c r="D133" s="115">
        <v>41739.655266203707</v>
      </c>
      <c r="E133" s="116" t="s">
        <v>1577</v>
      </c>
      <c r="F133" s="117" t="s">
        <v>637</v>
      </c>
      <c r="G133" s="117" t="s">
        <v>1574</v>
      </c>
      <c r="H133" s="124"/>
      <c r="I133" s="117">
        <v>205</v>
      </c>
      <c r="J133" s="118" t="s">
        <v>998</v>
      </c>
      <c r="K133" s="117" t="s">
        <v>1578</v>
      </c>
      <c r="L133" s="117" t="s">
        <v>931</v>
      </c>
      <c r="M133" s="117" t="s">
        <v>932</v>
      </c>
      <c r="N133" s="117" t="s">
        <v>932</v>
      </c>
      <c r="O133" s="117" t="s">
        <v>932</v>
      </c>
      <c r="P133" s="117" t="s">
        <v>932</v>
      </c>
      <c r="Q133" s="117" t="s">
        <v>932</v>
      </c>
      <c r="R133" s="117" t="s">
        <v>932</v>
      </c>
      <c r="S133" s="117" t="s">
        <v>932</v>
      </c>
      <c r="T133" s="119" t="s">
        <v>932</v>
      </c>
      <c r="U133" s="117" t="s">
        <v>932</v>
      </c>
      <c r="V133" s="117" t="s">
        <v>934</v>
      </c>
      <c r="W133" s="117" t="s">
        <v>934</v>
      </c>
      <c r="X133" s="117" t="s">
        <v>934</v>
      </c>
      <c r="Y133" s="117" t="s">
        <v>934</v>
      </c>
      <c r="Z133" s="117" t="s">
        <v>934</v>
      </c>
      <c r="AA133" s="117" t="s">
        <v>934</v>
      </c>
      <c r="AB133" s="117" t="s">
        <v>934</v>
      </c>
      <c r="AC133" s="117" t="s">
        <v>934</v>
      </c>
      <c r="AD133" s="117" t="s">
        <v>934</v>
      </c>
      <c r="AE133" s="117" t="s">
        <v>934</v>
      </c>
      <c r="AF133" s="117" t="s">
        <v>934</v>
      </c>
      <c r="AG133" s="117" t="s">
        <v>934</v>
      </c>
      <c r="AH133" s="117" t="s">
        <v>934</v>
      </c>
      <c r="AI133" s="117" t="s">
        <v>934</v>
      </c>
      <c r="AJ133" s="117" t="s">
        <v>943</v>
      </c>
      <c r="AK133" s="117" t="s">
        <v>1579</v>
      </c>
      <c r="AL133" s="117" t="s">
        <v>943</v>
      </c>
      <c r="AM133" s="117" t="s">
        <v>1580</v>
      </c>
      <c r="AN133" s="117" t="s">
        <v>932</v>
      </c>
      <c r="AO133" s="117" t="s">
        <v>1581</v>
      </c>
    </row>
    <row r="134" spans="1:41" s="117" customFormat="1" ht="25.5">
      <c r="A134" s="114">
        <v>41739.658125000002</v>
      </c>
      <c r="B134" s="115">
        <v>41739.658125000002</v>
      </c>
      <c r="C134" s="114">
        <v>41739.658125000002</v>
      </c>
      <c r="D134" s="115">
        <v>41739.658125000002</v>
      </c>
      <c r="E134" s="116" t="s">
        <v>1582</v>
      </c>
      <c r="F134" s="122" t="s">
        <v>1583</v>
      </c>
      <c r="G134" s="117" t="s">
        <v>1463</v>
      </c>
      <c r="H134" s="117">
        <v>9893151793</v>
      </c>
      <c r="I134" s="117">
        <v>517</v>
      </c>
      <c r="J134" s="118" t="s">
        <v>1478</v>
      </c>
      <c r="K134" s="117" t="s">
        <v>1584</v>
      </c>
      <c r="L134" s="117" t="s">
        <v>966</v>
      </c>
      <c r="M134" s="117" t="s">
        <v>932</v>
      </c>
      <c r="N134" s="117" t="s">
        <v>932</v>
      </c>
      <c r="O134" s="117" t="s">
        <v>932</v>
      </c>
      <c r="P134" s="117" t="s">
        <v>934</v>
      </c>
      <c r="Q134" s="117" t="s">
        <v>934</v>
      </c>
      <c r="R134" s="117" t="s">
        <v>934</v>
      </c>
      <c r="S134" s="117" t="s">
        <v>934</v>
      </c>
      <c r="T134" s="119" t="s">
        <v>934</v>
      </c>
      <c r="U134" s="117" t="s">
        <v>932</v>
      </c>
      <c r="V134" s="117" t="s">
        <v>932</v>
      </c>
      <c r="W134" s="117" t="s">
        <v>932</v>
      </c>
      <c r="X134" s="117" t="s">
        <v>934</v>
      </c>
      <c r="Y134" s="117" t="s">
        <v>934</v>
      </c>
      <c r="Z134" s="117" t="s">
        <v>934</v>
      </c>
      <c r="AA134" s="117" t="s">
        <v>934</v>
      </c>
      <c r="AB134" s="117" t="s">
        <v>934</v>
      </c>
      <c r="AC134" s="117" t="s">
        <v>934</v>
      </c>
      <c r="AD134" s="117" t="s">
        <v>934</v>
      </c>
      <c r="AE134" s="117" t="s">
        <v>934</v>
      </c>
      <c r="AF134" s="117" t="s">
        <v>934</v>
      </c>
      <c r="AG134" s="117" t="s">
        <v>934</v>
      </c>
      <c r="AH134" s="117" t="s">
        <v>934</v>
      </c>
      <c r="AI134" s="117" t="s">
        <v>934</v>
      </c>
      <c r="AJ134" s="117" t="s">
        <v>1585</v>
      </c>
      <c r="AK134" s="117" t="s">
        <v>1047</v>
      </c>
      <c r="AL134" s="117" t="s">
        <v>943</v>
      </c>
      <c r="AM134" s="117" t="s">
        <v>1586</v>
      </c>
      <c r="AN134" s="117" t="s">
        <v>932</v>
      </c>
      <c r="AO134" s="117" t="s">
        <v>1587</v>
      </c>
    </row>
    <row r="135" spans="1:41" s="117" customFormat="1" ht="25.5">
      <c r="A135" s="114">
        <v>41739.661053240743</v>
      </c>
      <c r="B135" s="115">
        <v>41739.661053240743</v>
      </c>
      <c r="C135" s="114">
        <v>41739.661064814813</v>
      </c>
      <c r="D135" s="115">
        <v>41739.661064814813</v>
      </c>
      <c r="E135" s="116" t="s">
        <v>1588</v>
      </c>
      <c r="F135" s="122" t="s">
        <v>1583</v>
      </c>
      <c r="G135" s="117" t="s">
        <v>1463</v>
      </c>
      <c r="H135" s="124"/>
      <c r="I135" s="117">
        <v>518</v>
      </c>
      <c r="J135" s="118" t="s">
        <v>1589</v>
      </c>
      <c r="K135" s="117" t="s">
        <v>1590</v>
      </c>
      <c r="L135" s="117" t="s">
        <v>966</v>
      </c>
      <c r="M135" s="117" t="s">
        <v>932</v>
      </c>
      <c r="N135" s="117" t="s">
        <v>932</v>
      </c>
      <c r="O135" s="117" t="s">
        <v>932</v>
      </c>
      <c r="P135" s="117" t="s">
        <v>932</v>
      </c>
      <c r="Q135" s="117" t="s">
        <v>934</v>
      </c>
      <c r="R135" s="117" t="s">
        <v>934</v>
      </c>
      <c r="S135" s="117" t="s">
        <v>934</v>
      </c>
      <c r="T135" s="119" t="s">
        <v>934</v>
      </c>
      <c r="U135" s="117" t="s">
        <v>932</v>
      </c>
      <c r="V135" s="117" t="s">
        <v>932</v>
      </c>
      <c r="W135" s="117" t="s">
        <v>932</v>
      </c>
      <c r="X135" s="117" t="s">
        <v>934</v>
      </c>
      <c r="Y135" s="117" t="s">
        <v>934</v>
      </c>
      <c r="Z135" s="117" t="s">
        <v>934</v>
      </c>
      <c r="AA135" s="117" t="s">
        <v>934</v>
      </c>
      <c r="AB135" s="117" t="s">
        <v>934</v>
      </c>
      <c r="AC135" s="117" t="s">
        <v>934</v>
      </c>
      <c r="AD135" s="117" t="s">
        <v>934</v>
      </c>
      <c r="AE135" s="117" t="s">
        <v>934</v>
      </c>
      <c r="AF135" s="117" t="s">
        <v>934</v>
      </c>
      <c r="AG135" s="117" t="s">
        <v>934</v>
      </c>
      <c r="AH135" s="117" t="s">
        <v>934</v>
      </c>
      <c r="AI135" s="117" t="s">
        <v>934</v>
      </c>
      <c r="AJ135" s="117" t="s">
        <v>1591</v>
      </c>
      <c r="AK135" s="117" t="s">
        <v>1191</v>
      </c>
      <c r="AL135" s="117" t="s">
        <v>943</v>
      </c>
      <c r="AM135" s="117" t="s">
        <v>1592</v>
      </c>
      <c r="AN135" s="117" t="s">
        <v>932</v>
      </c>
      <c r="AO135" s="124"/>
    </row>
    <row r="136" spans="1:41" s="117" customFormat="1" ht="25.5">
      <c r="A136" s="114">
        <v>41739.662928240738</v>
      </c>
      <c r="B136" s="115">
        <v>41739.662928240738</v>
      </c>
      <c r="C136" s="114">
        <v>41739.662939814814</v>
      </c>
      <c r="D136" s="115">
        <v>41739.662939814814</v>
      </c>
      <c r="E136" s="116" t="s">
        <v>1593</v>
      </c>
      <c r="F136" s="122" t="s">
        <v>1594</v>
      </c>
      <c r="G136" s="117" t="s">
        <v>1463</v>
      </c>
      <c r="H136" s="124"/>
      <c r="I136" s="117">
        <v>514</v>
      </c>
      <c r="J136" s="118" t="s">
        <v>1589</v>
      </c>
      <c r="K136" s="117" t="s">
        <v>977</v>
      </c>
      <c r="L136" s="117" t="s">
        <v>966</v>
      </c>
      <c r="M136" s="117" t="s">
        <v>932</v>
      </c>
      <c r="N136" s="117" t="s">
        <v>932</v>
      </c>
      <c r="O136" s="117" t="s">
        <v>932</v>
      </c>
      <c r="P136" s="117" t="s">
        <v>934</v>
      </c>
      <c r="Q136" s="117" t="s">
        <v>934</v>
      </c>
      <c r="R136" s="117" t="s">
        <v>934</v>
      </c>
      <c r="S136" s="117" t="s">
        <v>934</v>
      </c>
      <c r="T136" s="119" t="s">
        <v>934</v>
      </c>
      <c r="U136" s="117" t="s">
        <v>932</v>
      </c>
      <c r="V136" s="117" t="s">
        <v>932</v>
      </c>
      <c r="W136" s="117" t="s">
        <v>932</v>
      </c>
      <c r="X136" s="117" t="s">
        <v>934</v>
      </c>
      <c r="Y136" s="117" t="s">
        <v>934</v>
      </c>
      <c r="Z136" s="117" t="s">
        <v>934</v>
      </c>
      <c r="AA136" s="117" t="s">
        <v>934</v>
      </c>
      <c r="AB136" s="117" t="s">
        <v>934</v>
      </c>
      <c r="AC136" s="117" t="s">
        <v>934</v>
      </c>
      <c r="AD136" s="117" t="s">
        <v>934</v>
      </c>
      <c r="AE136" s="117" t="s">
        <v>934</v>
      </c>
      <c r="AF136" s="117" t="s">
        <v>934</v>
      </c>
      <c r="AG136" s="117" t="s">
        <v>934</v>
      </c>
      <c r="AH136" s="117" t="s">
        <v>934</v>
      </c>
      <c r="AI136" s="117" t="s">
        <v>934</v>
      </c>
      <c r="AJ136" s="117" t="s">
        <v>1595</v>
      </c>
      <c r="AK136" s="117" t="s">
        <v>1191</v>
      </c>
      <c r="AL136" s="117" t="s">
        <v>943</v>
      </c>
      <c r="AM136" s="117" t="s">
        <v>1592</v>
      </c>
      <c r="AN136" s="117" t="s">
        <v>932</v>
      </c>
      <c r="AO136" s="124"/>
    </row>
    <row r="137" spans="1:41" s="117" customFormat="1" ht="25.5">
      <c r="A137" s="114">
        <v>41739.664548611108</v>
      </c>
      <c r="B137" s="115">
        <v>41739.664548611108</v>
      </c>
      <c r="C137" s="114">
        <v>41739.664560185185</v>
      </c>
      <c r="D137" s="115">
        <v>41739.664560185185</v>
      </c>
      <c r="E137" s="116" t="s">
        <v>1596</v>
      </c>
      <c r="F137" s="122" t="s">
        <v>1583</v>
      </c>
      <c r="G137" s="117" t="s">
        <v>1463</v>
      </c>
      <c r="H137" s="124"/>
      <c r="I137" s="117">
        <v>515</v>
      </c>
      <c r="J137" s="118" t="s">
        <v>1597</v>
      </c>
      <c r="K137" s="117" t="s">
        <v>1598</v>
      </c>
      <c r="L137" s="117" t="s">
        <v>966</v>
      </c>
      <c r="M137" s="117" t="s">
        <v>932</v>
      </c>
      <c r="N137" s="117" t="s">
        <v>932</v>
      </c>
      <c r="O137" s="117" t="s">
        <v>932</v>
      </c>
      <c r="P137" s="117" t="s">
        <v>934</v>
      </c>
      <c r="Q137" s="117" t="s">
        <v>934</v>
      </c>
      <c r="R137" s="117" t="s">
        <v>934</v>
      </c>
      <c r="S137" s="117" t="s">
        <v>934</v>
      </c>
      <c r="T137" s="119" t="s">
        <v>934</v>
      </c>
      <c r="U137" s="117" t="s">
        <v>932</v>
      </c>
      <c r="V137" s="117" t="s">
        <v>932</v>
      </c>
      <c r="W137" s="117" t="s">
        <v>932</v>
      </c>
      <c r="X137" s="117" t="s">
        <v>934</v>
      </c>
      <c r="Y137" s="117" t="s">
        <v>934</v>
      </c>
      <c r="Z137" s="117" t="s">
        <v>934</v>
      </c>
      <c r="AA137" s="117" t="s">
        <v>934</v>
      </c>
      <c r="AB137" s="117" t="s">
        <v>934</v>
      </c>
      <c r="AC137" s="117" t="s">
        <v>934</v>
      </c>
      <c r="AD137" s="117" t="s">
        <v>934</v>
      </c>
      <c r="AE137" s="117" t="s">
        <v>934</v>
      </c>
      <c r="AF137" s="117" t="s">
        <v>934</v>
      </c>
      <c r="AG137" s="117" t="s">
        <v>934</v>
      </c>
      <c r="AH137" s="117" t="s">
        <v>934</v>
      </c>
      <c r="AI137" s="117" t="s">
        <v>934</v>
      </c>
      <c r="AJ137" s="117" t="s">
        <v>943</v>
      </c>
      <c r="AK137" s="117" t="s">
        <v>1191</v>
      </c>
      <c r="AL137" s="117" t="s">
        <v>943</v>
      </c>
      <c r="AM137" s="117" t="s">
        <v>1599</v>
      </c>
      <c r="AN137" s="117" t="s">
        <v>932</v>
      </c>
      <c r="AO137" s="124"/>
    </row>
    <row r="138" spans="1:41" s="117" customFormat="1" ht="25.5">
      <c r="A138" s="114">
        <v>41739.666342592594</v>
      </c>
      <c r="B138" s="115">
        <v>41739.666342592594</v>
      </c>
      <c r="C138" s="114">
        <v>41739.666342592594</v>
      </c>
      <c r="D138" s="115">
        <v>41739.666342592594</v>
      </c>
      <c r="E138" s="116" t="s">
        <v>1600</v>
      </c>
      <c r="F138" s="122" t="s">
        <v>1583</v>
      </c>
      <c r="G138" s="117" t="s">
        <v>1463</v>
      </c>
      <c r="H138" s="124"/>
      <c r="I138" s="117">
        <v>130641</v>
      </c>
      <c r="J138" s="118" t="s">
        <v>1473</v>
      </c>
      <c r="K138" s="117" t="s">
        <v>1056</v>
      </c>
      <c r="L138" s="117" t="s">
        <v>931</v>
      </c>
      <c r="M138" s="117" t="s">
        <v>933</v>
      </c>
      <c r="N138" s="117" t="s">
        <v>932</v>
      </c>
      <c r="O138" s="117" t="s">
        <v>932</v>
      </c>
      <c r="P138" s="117" t="s">
        <v>934</v>
      </c>
      <c r="Q138" s="117" t="s">
        <v>934</v>
      </c>
      <c r="R138" s="117" t="s">
        <v>934</v>
      </c>
      <c r="S138" s="117" t="s">
        <v>934</v>
      </c>
      <c r="T138" s="119" t="s">
        <v>934</v>
      </c>
      <c r="U138" s="117" t="s">
        <v>932</v>
      </c>
      <c r="V138" s="117" t="s">
        <v>932</v>
      </c>
      <c r="W138" s="117" t="s">
        <v>932</v>
      </c>
      <c r="X138" s="117" t="s">
        <v>934</v>
      </c>
      <c r="Y138" s="117" t="s">
        <v>934</v>
      </c>
      <c r="Z138" s="117" t="s">
        <v>934</v>
      </c>
      <c r="AA138" s="117" t="s">
        <v>934</v>
      </c>
      <c r="AB138" s="117" t="s">
        <v>934</v>
      </c>
      <c r="AC138" s="117" t="s">
        <v>934</v>
      </c>
      <c r="AD138" s="117" t="s">
        <v>934</v>
      </c>
      <c r="AE138" s="117" t="s">
        <v>934</v>
      </c>
      <c r="AF138" s="117" t="s">
        <v>934</v>
      </c>
      <c r="AG138" s="117" t="s">
        <v>934</v>
      </c>
      <c r="AH138" s="117" t="s">
        <v>934</v>
      </c>
      <c r="AI138" s="117" t="s">
        <v>934</v>
      </c>
      <c r="AJ138" s="117" t="s">
        <v>943</v>
      </c>
      <c r="AK138" s="117" t="s">
        <v>1191</v>
      </c>
      <c r="AL138" s="117" t="s">
        <v>943</v>
      </c>
      <c r="AM138" s="117" t="s">
        <v>992</v>
      </c>
      <c r="AN138" s="117" t="s">
        <v>932</v>
      </c>
      <c r="AO138" s="124"/>
    </row>
    <row r="139" spans="1:41" s="117" customFormat="1" ht="25.5">
      <c r="A139" s="114">
        <v>41739.671296296299</v>
      </c>
      <c r="B139" s="115">
        <v>41739.671296296299</v>
      </c>
      <c r="C139" s="114">
        <v>41739.671307870369</v>
      </c>
      <c r="D139" s="115">
        <v>41739.671307870369</v>
      </c>
      <c r="E139" s="116" t="s">
        <v>1601</v>
      </c>
      <c r="F139" s="122" t="s">
        <v>1583</v>
      </c>
      <c r="G139" s="117" t="s">
        <v>1463</v>
      </c>
      <c r="H139" s="124"/>
      <c r="I139" s="117" t="s">
        <v>1056</v>
      </c>
      <c r="J139" s="118" t="s">
        <v>1473</v>
      </c>
      <c r="K139" s="117" t="s">
        <v>1056</v>
      </c>
      <c r="L139" s="117" t="s">
        <v>931</v>
      </c>
      <c r="M139" s="117" t="s">
        <v>932</v>
      </c>
      <c r="N139" s="117" t="s">
        <v>932</v>
      </c>
      <c r="O139" s="117" t="s">
        <v>932</v>
      </c>
      <c r="P139" s="117" t="s">
        <v>934</v>
      </c>
      <c r="Q139" s="117" t="s">
        <v>934</v>
      </c>
      <c r="R139" s="117" t="s">
        <v>934</v>
      </c>
      <c r="S139" s="117" t="s">
        <v>934</v>
      </c>
      <c r="T139" s="119" t="s">
        <v>934</v>
      </c>
      <c r="U139" s="117" t="s">
        <v>932</v>
      </c>
      <c r="V139" s="117" t="s">
        <v>932</v>
      </c>
      <c r="W139" s="117" t="s">
        <v>932</v>
      </c>
      <c r="X139" s="117" t="s">
        <v>934</v>
      </c>
      <c r="Y139" s="117" t="s">
        <v>934</v>
      </c>
      <c r="Z139" s="117" t="s">
        <v>934</v>
      </c>
      <c r="AA139" s="117" t="s">
        <v>934</v>
      </c>
      <c r="AB139" s="117" t="s">
        <v>934</v>
      </c>
      <c r="AC139" s="117" t="s">
        <v>934</v>
      </c>
      <c r="AD139" s="117" t="s">
        <v>934</v>
      </c>
      <c r="AE139" s="117" t="s">
        <v>934</v>
      </c>
      <c r="AF139" s="117" t="s">
        <v>934</v>
      </c>
      <c r="AG139" s="117" t="s">
        <v>934</v>
      </c>
      <c r="AH139" s="117" t="s">
        <v>934</v>
      </c>
      <c r="AI139" s="117" t="s">
        <v>934</v>
      </c>
      <c r="AJ139" s="117" t="s">
        <v>943</v>
      </c>
      <c r="AK139" s="117" t="s">
        <v>1602</v>
      </c>
      <c r="AL139" s="117" t="s">
        <v>1603</v>
      </c>
      <c r="AM139" s="117" t="s">
        <v>1604</v>
      </c>
      <c r="AN139" s="117" t="s">
        <v>932</v>
      </c>
      <c r="AO139" s="117" t="s">
        <v>1605</v>
      </c>
    </row>
    <row r="140" spans="1:41" s="117" customFormat="1" ht="25.5">
      <c r="A140" s="114">
        <v>41739.676666666666</v>
      </c>
      <c r="B140" s="115">
        <v>41739.676666666666</v>
      </c>
      <c r="C140" s="114">
        <v>41739.676678240743</v>
      </c>
      <c r="D140" s="115">
        <v>41739.676678240743</v>
      </c>
      <c r="E140" s="116" t="s">
        <v>1606</v>
      </c>
      <c r="F140" s="122" t="s">
        <v>1607</v>
      </c>
      <c r="G140" s="117" t="s">
        <v>1608</v>
      </c>
      <c r="H140" s="117">
        <v>5500154</v>
      </c>
      <c r="I140" s="117" t="s">
        <v>1609</v>
      </c>
      <c r="J140" s="118" t="s">
        <v>1610</v>
      </c>
      <c r="K140" s="117">
        <v>1500</v>
      </c>
      <c r="L140" s="117" t="s">
        <v>931</v>
      </c>
      <c r="M140" s="117" t="s">
        <v>932</v>
      </c>
      <c r="N140" s="117" t="s">
        <v>932</v>
      </c>
      <c r="O140" s="117" t="s">
        <v>932</v>
      </c>
      <c r="P140" s="117" t="s">
        <v>932</v>
      </c>
      <c r="Q140" s="117" t="s">
        <v>934</v>
      </c>
      <c r="R140" s="117" t="s">
        <v>932</v>
      </c>
      <c r="S140" s="117" t="s">
        <v>932</v>
      </c>
      <c r="T140" s="119" t="s">
        <v>932</v>
      </c>
      <c r="U140" s="117" t="s">
        <v>933</v>
      </c>
      <c r="V140" s="117" t="s">
        <v>932</v>
      </c>
      <c r="W140" s="117" t="s">
        <v>933</v>
      </c>
      <c r="X140" s="117" t="s">
        <v>934</v>
      </c>
      <c r="Y140" s="117" t="s">
        <v>934</v>
      </c>
      <c r="Z140" s="117" t="s">
        <v>934</v>
      </c>
      <c r="AA140" s="117" t="s">
        <v>934</v>
      </c>
      <c r="AB140" s="117" t="s">
        <v>934</v>
      </c>
      <c r="AC140" s="117" t="s">
        <v>934</v>
      </c>
      <c r="AD140" s="117" t="s">
        <v>934</v>
      </c>
      <c r="AE140" s="117" t="s">
        <v>934</v>
      </c>
      <c r="AF140" s="117" t="s">
        <v>934</v>
      </c>
      <c r="AG140" s="117" t="s">
        <v>934</v>
      </c>
      <c r="AH140" s="117" t="s">
        <v>934</v>
      </c>
      <c r="AI140" s="117" t="s">
        <v>934</v>
      </c>
      <c r="AJ140" s="117" t="s">
        <v>1611</v>
      </c>
      <c r="AK140" s="117" t="s">
        <v>1612</v>
      </c>
      <c r="AL140" s="117" t="s">
        <v>958</v>
      </c>
      <c r="AM140" s="117" t="s">
        <v>1613</v>
      </c>
      <c r="AN140" s="117" t="s">
        <v>932</v>
      </c>
      <c r="AO140" s="117" t="s">
        <v>1614</v>
      </c>
    </row>
    <row r="141" spans="1:41" s="117" customFormat="1" ht="25.5">
      <c r="A141" s="114">
        <v>41739.679502314815</v>
      </c>
      <c r="B141" s="115">
        <v>41739.679502314815</v>
      </c>
      <c r="C141" s="114">
        <v>41739.679502314815</v>
      </c>
      <c r="D141" s="115">
        <v>41739.679502314815</v>
      </c>
      <c r="E141" s="116" t="s">
        <v>1615</v>
      </c>
      <c r="F141" s="122" t="s">
        <v>1616</v>
      </c>
      <c r="G141" s="117" t="s">
        <v>1608</v>
      </c>
      <c r="H141" s="124"/>
      <c r="I141" s="117">
        <v>566</v>
      </c>
      <c r="J141" s="118" t="s">
        <v>1589</v>
      </c>
      <c r="K141" s="117" t="s">
        <v>977</v>
      </c>
      <c r="L141" s="117" t="s">
        <v>966</v>
      </c>
      <c r="M141" s="117" t="s">
        <v>932</v>
      </c>
      <c r="N141" s="117" t="s">
        <v>932</v>
      </c>
      <c r="O141" s="117" t="s">
        <v>932</v>
      </c>
      <c r="P141" s="117" t="s">
        <v>934</v>
      </c>
      <c r="Q141" s="117" t="s">
        <v>934</v>
      </c>
      <c r="R141" s="117" t="s">
        <v>934</v>
      </c>
      <c r="S141" s="117" t="s">
        <v>934</v>
      </c>
      <c r="T141" s="119" t="s">
        <v>934</v>
      </c>
      <c r="U141" s="117" t="s">
        <v>932</v>
      </c>
      <c r="V141" s="117" t="s">
        <v>932</v>
      </c>
      <c r="W141" s="117" t="s">
        <v>932</v>
      </c>
      <c r="X141" s="117" t="s">
        <v>934</v>
      </c>
      <c r="Y141" s="117" t="s">
        <v>934</v>
      </c>
      <c r="Z141" s="117" t="s">
        <v>934</v>
      </c>
      <c r="AA141" s="117" t="s">
        <v>934</v>
      </c>
      <c r="AB141" s="117" t="s">
        <v>934</v>
      </c>
      <c r="AC141" s="117" t="s">
        <v>934</v>
      </c>
      <c r="AD141" s="117" t="s">
        <v>934</v>
      </c>
      <c r="AE141" s="117" t="s">
        <v>934</v>
      </c>
      <c r="AF141" s="117" t="s">
        <v>934</v>
      </c>
      <c r="AG141" s="117" t="s">
        <v>934</v>
      </c>
      <c r="AH141" s="117" t="s">
        <v>934</v>
      </c>
      <c r="AI141" s="117" t="s">
        <v>934</v>
      </c>
      <c r="AJ141" s="117" t="s">
        <v>990</v>
      </c>
      <c r="AK141" s="117" t="s">
        <v>1617</v>
      </c>
      <c r="AL141" s="117" t="s">
        <v>943</v>
      </c>
      <c r="AM141" s="117" t="s">
        <v>1618</v>
      </c>
      <c r="AN141" s="117" t="s">
        <v>932</v>
      </c>
      <c r="AO141" s="117" t="s">
        <v>1619</v>
      </c>
    </row>
    <row r="142" spans="1:41" s="117" customFormat="1" ht="25.5">
      <c r="A142" s="114">
        <v>41739.681168981479</v>
      </c>
      <c r="B142" s="115">
        <v>41739.681168981479</v>
      </c>
      <c r="C142" s="114">
        <v>41739.681180555555</v>
      </c>
      <c r="D142" s="115">
        <v>41739.681180555555</v>
      </c>
      <c r="E142" s="116" t="s">
        <v>1620</v>
      </c>
      <c r="F142" s="122" t="s">
        <v>1607</v>
      </c>
      <c r="G142" s="117" t="s">
        <v>1608</v>
      </c>
      <c r="H142" s="124"/>
      <c r="I142" s="117" t="s">
        <v>1621</v>
      </c>
      <c r="J142" s="118" t="s">
        <v>998</v>
      </c>
      <c r="K142" s="117" t="s">
        <v>1621</v>
      </c>
      <c r="L142" s="117" t="s">
        <v>931</v>
      </c>
      <c r="M142" s="117" t="s">
        <v>932</v>
      </c>
      <c r="N142" s="117" t="s">
        <v>932</v>
      </c>
      <c r="O142" s="117" t="s">
        <v>932</v>
      </c>
      <c r="P142" s="117" t="s">
        <v>934</v>
      </c>
      <c r="Q142" s="117" t="s">
        <v>934</v>
      </c>
      <c r="R142" s="117" t="s">
        <v>934</v>
      </c>
      <c r="S142" s="117" t="s">
        <v>934</v>
      </c>
      <c r="T142" s="119" t="s">
        <v>934</v>
      </c>
      <c r="U142" s="117" t="s">
        <v>932</v>
      </c>
      <c r="V142" s="117" t="s">
        <v>932</v>
      </c>
      <c r="W142" s="117" t="s">
        <v>932</v>
      </c>
      <c r="X142" s="117" t="s">
        <v>934</v>
      </c>
      <c r="Y142" s="117" t="s">
        <v>934</v>
      </c>
      <c r="Z142" s="117" t="s">
        <v>934</v>
      </c>
      <c r="AA142" s="117" t="s">
        <v>934</v>
      </c>
      <c r="AB142" s="117" t="s">
        <v>934</v>
      </c>
      <c r="AC142" s="117" t="s">
        <v>934</v>
      </c>
      <c r="AD142" s="117" t="s">
        <v>934</v>
      </c>
      <c r="AE142" s="117" t="s">
        <v>934</v>
      </c>
      <c r="AF142" s="117" t="s">
        <v>934</v>
      </c>
      <c r="AG142" s="117" t="s">
        <v>934</v>
      </c>
      <c r="AH142" s="117" t="s">
        <v>934</v>
      </c>
      <c r="AI142" s="117" t="s">
        <v>934</v>
      </c>
      <c r="AJ142" s="117" t="s">
        <v>943</v>
      </c>
      <c r="AK142" s="117" t="s">
        <v>1191</v>
      </c>
      <c r="AL142" s="117" t="s">
        <v>943</v>
      </c>
      <c r="AM142" s="117" t="s">
        <v>1622</v>
      </c>
      <c r="AN142" s="117" t="s">
        <v>932</v>
      </c>
      <c r="AO142" s="124"/>
    </row>
    <row r="143" spans="1:41" s="117" customFormat="1" ht="25.5">
      <c r="A143" s="114">
        <v>41739.682627314818</v>
      </c>
      <c r="B143" s="115">
        <v>41739.682627314818</v>
      </c>
      <c r="C143" s="114">
        <v>41739.682638888888</v>
      </c>
      <c r="D143" s="115">
        <v>41739.682638888888</v>
      </c>
      <c r="E143" s="116" t="s">
        <v>1623</v>
      </c>
      <c r="F143" s="122" t="s">
        <v>1607</v>
      </c>
      <c r="G143" s="117" t="s">
        <v>1608</v>
      </c>
      <c r="H143" s="124"/>
      <c r="I143" s="117">
        <v>569</v>
      </c>
      <c r="J143" s="118" t="s">
        <v>1624</v>
      </c>
      <c r="K143" s="117" t="s">
        <v>1006</v>
      </c>
      <c r="L143" s="117" t="s">
        <v>966</v>
      </c>
      <c r="M143" s="117" t="s">
        <v>932</v>
      </c>
      <c r="N143" s="117" t="s">
        <v>932</v>
      </c>
      <c r="O143" s="117" t="s">
        <v>932</v>
      </c>
      <c r="P143" s="117" t="s">
        <v>934</v>
      </c>
      <c r="Q143" s="117" t="s">
        <v>934</v>
      </c>
      <c r="R143" s="117" t="s">
        <v>934</v>
      </c>
      <c r="S143" s="117" t="s">
        <v>934</v>
      </c>
      <c r="T143" s="119" t="s">
        <v>934</v>
      </c>
      <c r="U143" s="117" t="s">
        <v>932</v>
      </c>
      <c r="V143" s="117" t="s">
        <v>932</v>
      </c>
      <c r="W143" s="117" t="s">
        <v>932</v>
      </c>
      <c r="X143" s="117" t="s">
        <v>934</v>
      </c>
      <c r="Y143" s="117" t="s">
        <v>934</v>
      </c>
      <c r="Z143" s="117" t="s">
        <v>934</v>
      </c>
      <c r="AA143" s="117" t="s">
        <v>934</v>
      </c>
      <c r="AB143" s="117" t="s">
        <v>934</v>
      </c>
      <c r="AC143" s="117" t="s">
        <v>934</v>
      </c>
      <c r="AD143" s="117" t="s">
        <v>934</v>
      </c>
      <c r="AE143" s="117" t="s">
        <v>934</v>
      </c>
      <c r="AF143" s="117" t="s">
        <v>934</v>
      </c>
      <c r="AG143" s="117" t="s">
        <v>934</v>
      </c>
      <c r="AH143" s="117" t="s">
        <v>934</v>
      </c>
      <c r="AI143" s="117" t="s">
        <v>934</v>
      </c>
      <c r="AJ143" s="117" t="s">
        <v>1625</v>
      </c>
      <c r="AK143" s="117" t="s">
        <v>1626</v>
      </c>
      <c r="AL143" s="117" t="s">
        <v>943</v>
      </c>
      <c r="AM143" s="117" t="s">
        <v>1627</v>
      </c>
      <c r="AN143" s="117" t="s">
        <v>932</v>
      </c>
      <c r="AO143" s="117" t="s">
        <v>1628</v>
      </c>
    </row>
    <row r="144" spans="1:41" s="117" customFormat="1" ht="25.5">
      <c r="A144" s="114">
        <v>41739.684212962966</v>
      </c>
      <c r="B144" s="115">
        <v>41739.684212962966</v>
      </c>
      <c r="C144" s="114">
        <v>41739.684236111112</v>
      </c>
      <c r="D144" s="115">
        <v>41739.684236111112</v>
      </c>
      <c r="E144" s="116" t="s">
        <v>1629</v>
      </c>
      <c r="F144" s="122" t="s">
        <v>1607</v>
      </c>
      <c r="G144" s="117" t="s">
        <v>1608</v>
      </c>
      <c r="H144" s="124"/>
      <c r="I144" s="117">
        <v>564</v>
      </c>
      <c r="J144" s="118" t="s">
        <v>1624</v>
      </c>
      <c r="K144" s="117" t="s">
        <v>1139</v>
      </c>
      <c r="L144" s="117" t="s">
        <v>966</v>
      </c>
      <c r="M144" s="117" t="s">
        <v>932</v>
      </c>
      <c r="N144" s="117" t="s">
        <v>932</v>
      </c>
      <c r="O144" s="117" t="s">
        <v>932</v>
      </c>
      <c r="P144" s="117" t="s">
        <v>934</v>
      </c>
      <c r="Q144" s="117" t="s">
        <v>934</v>
      </c>
      <c r="R144" s="117" t="s">
        <v>934</v>
      </c>
      <c r="S144" s="117" t="s">
        <v>934</v>
      </c>
      <c r="T144" s="119" t="s">
        <v>934</v>
      </c>
      <c r="U144" s="117" t="s">
        <v>932</v>
      </c>
      <c r="V144" s="117" t="s">
        <v>932</v>
      </c>
      <c r="W144" s="117" t="s">
        <v>932</v>
      </c>
      <c r="X144" s="117" t="s">
        <v>934</v>
      </c>
      <c r="Y144" s="117" t="s">
        <v>934</v>
      </c>
      <c r="Z144" s="117" t="s">
        <v>934</v>
      </c>
      <c r="AA144" s="117" t="s">
        <v>934</v>
      </c>
      <c r="AB144" s="117" t="s">
        <v>934</v>
      </c>
      <c r="AC144" s="117" t="s">
        <v>934</v>
      </c>
      <c r="AD144" s="117" t="s">
        <v>934</v>
      </c>
      <c r="AE144" s="117" t="s">
        <v>934</v>
      </c>
      <c r="AF144" s="117" t="s">
        <v>934</v>
      </c>
      <c r="AG144" s="117" t="s">
        <v>934</v>
      </c>
      <c r="AH144" s="117" t="s">
        <v>934</v>
      </c>
      <c r="AI144" s="117" t="s">
        <v>934</v>
      </c>
      <c r="AJ144" s="117" t="s">
        <v>1591</v>
      </c>
      <c r="AK144" s="117" t="s">
        <v>1630</v>
      </c>
      <c r="AL144" s="117" t="s">
        <v>943</v>
      </c>
      <c r="AM144" s="117" t="s">
        <v>1631</v>
      </c>
      <c r="AN144" s="117" t="s">
        <v>932</v>
      </c>
      <c r="AO144" s="117" t="s">
        <v>1632</v>
      </c>
    </row>
    <row r="145" spans="1:87" s="117" customFormat="1" ht="25.5">
      <c r="A145" s="114">
        <v>41739.686122685183</v>
      </c>
      <c r="B145" s="115">
        <v>41739.686122685183</v>
      </c>
      <c r="C145" s="114">
        <v>41739.68613425926</v>
      </c>
      <c r="D145" s="115">
        <v>41739.68613425926</v>
      </c>
      <c r="E145" s="116" t="s">
        <v>1633</v>
      </c>
      <c r="F145" s="122" t="s">
        <v>1607</v>
      </c>
      <c r="G145" s="117" t="s">
        <v>1608</v>
      </c>
      <c r="H145" s="124"/>
      <c r="I145" s="117">
        <v>563</v>
      </c>
      <c r="J145" s="118" t="s">
        <v>998</v>
      </c>
      <c r="K145" s="117">
        <v>2500</v>
      </c>
      <c r="L145" s="117" t="s">
        <v>931</v>
      </c>
      <c r="M145" s="117" t="s">
        <v>932</v>
      </c>
      <c r="N145" s="117" t="s">
        <v>932</v>
      </c>
      <c r="O145" s="117" t="s">
        <v>932</v>
      </c>
      <c r="P145" s="117" t="s">
        <v>932</v>
      </c>
      <c r="Q145" s="117" t="s">
        <v>934</v>
      </c>
      <c r="R145" s="117" t="s">
        <v>932</v>
      </c>
      <c r="S145" s="117" t="s">
        <v>932</v>
      </c>
      <c r="T145" s="119" t="s">
        <v>932</v>
      </c>
      <c r="U145" s="117" t="s">
        <v>932</v>
      </c>
      <c r="V145" s="117" t="s">
        <v>932</v>
      </c>
      <c r="W145" s="117" t="s">
        <v>932</v>
      </c>
      <c r="X145" s="117" t="s">
        <v>934</v>
      </c>
      <c r="Y145" s="117" t="s">
        <v>934</v>
      </c>
      <c r="Z145" s="117" t="s">
        <v>934</v>
      </c>
      <c r="AA145" s="117" t="s">
        <v>934</v>
      </c>
      <c r="AB145" s="117" t="s">
        <v>934</v>
      </c>
      <c r="AC145" s="117" t="s">
        <v>934</v>
      </c>
      <c r="AD145" s="117" t="s">
        <v>934</v>
      </c>
      <c r="AE145" s="117" t="s">
        <v>934</v>
      </c>
      <c r="AF145" s="117" t="s">
        <v>934</v>
      </c>
      <c r="AG145" s="117" t="s">
        <v>934</v>
      </c>
      <c r="AH145" s="117" t="s">
        <v>934</v>
      </c>
      <c r="AI145" s="117" t="s">
        <v>934</v>
      </c>
      <c r="AJ145" s="117" t="s">
        <v>943</v>
      </c>
      <c r="AK145" s="117" t="s">
        <v>1634</v>
      </c>
      <c r="AL145" s="117" t="s">
        <v>958</v>
      </c>
      <c r="AM145" s="117" t="s">
        <v>1622</v>
      </c>
      <c r="AN145" s="117" t="s">
        <v>932</v>
      </c>
      <c r="AO145" s="117" t="s">
        <v>1635</v>
      </c>
      <c r="AP145" s="124"/>
      <c r="AQ145" s="124"/>
      <c r="AR145" s="124"/>
      <c r="AS145" s="124"/>
      <c r="AT145" s="124"/>
      <c r="AU145" s="124"/>
      <c r="AV145" s="124"/>
      <c r="AW145" s="124"/>
      <c r="AX145" s="124"/>
      <c r="AY145" s="124"/>
      <c r="AZ145" s="124"/>
      <c r="BA145" s="124"/>
      <c r="BB145" s="124"/>
      <c r="BC145" s="124"/>
      <c r="BD145" s="124"/>
      <c r="BE145" s="124"/>
      <c r="BF145" s="124"/>
      <c r="BG145" s="124"/>
      <c r="BH145" s="124"/>
      <c r="BI145" s="124"/>
      <c r="BJ145" s="124"/>
      <c r="BK145" s="124"/>
      <c r="BL145" s="124"/>
      <c r="BM145" s="124"/>
      <c r="BN145" s="124"/>
      <c r="BO145" s="124"/>
      <c r="BP145" s="124"/>
      <c r="BQ145" s="124"/>
      <c r="BR145" s="124"/>
      <c r="BS145" s="124"/>
      <c r="BT145" s="124"/>
      <c r="BU145" s="124"/>
      <c r="BV145" s="124"/>
      <c r="BW145" s="124"/>
      <c r="BX145" s="124"/>
      <c r="BY145" s="124"/>
      <c r="BZ145" s="124"/>
      <c r="CA145" s="124"/>
      <c r="CB145" s="124"/>
      <c r="CC145" s="124"/>
      <c r="CD145" s="124"/>
      <c r="CE145" s="124"/>
      <c r="CF145" s="124"/>
      <c r="CG145" s="124"/>
      <c r="CH145" s="124"/>
      <c r="CI145" s="124"/>
    </row>
    <row r="146" spans="1:87" s="117" customFormat="1" ht="25.5">
      <c r="A146" s="114">
        <v>41740.467210648145</v>
      </c>
      <c r="B146" s="115">
        <v>41740.467210648145</v>
      </c>
      <c r="C146" s="114">
        <v>41740.520752314813</v>
      </c>
      <c r="D146" s="115">
        <v>41740.520752314813</v>
      </c>
      <c r="E146" s="116" t="s">
        <v>1636</v>
      </c>
      <c r="F146" s="117" t="s">
        <v>637</v>
      </c>
      <c r="G146" s="117" t="s">
        <v>1574</v>
      </c>
      <c r="H146" s="117">
        <v>9895535625</v>
      </c>
      <c r="I146" s="117">
        <v>205</v>
      </c>
      <c r="J146" s="118" t="s">
        <v>1610</v>
      </c>
      <c r="K146" s="117" t="s">
        <v>1578</v>
      </c>
      <c r="L146" s="117" t="s">
        <v>931</v>
      </c>
      <c r="M146" s="124"/>
      <c r="N146" s="124"/>
      <c r="O146" s="124"/>
      <c r="P146" s="124"/>
      <c r="Q146" s="124"/>
      <c r="R146" s="124"/>
      <c r="S146" s="124"/>
      <c r="T146" s="124"/>
      <c r="U146" s="124"/>
      <c r="V146" s="124"/>
      <c r="W146" s="124"/>
      <c r="X146" s="124"/>
      <c r="Y146" s="124"/>
      <c r="Z146" s="124"/>
      <c r="AA146" s="124"/>
      <c r="AB146" s="124"/>
      <c r="AC146" s="124"/>
      <c r="AD146" s="124"/>
      <c r="AE146" s="124"/>
      <c r="AF146" s="124"/>
      <c r="AG146" s="124"/>
      <c r="AH146" s="124"/>
      <c r="AI146" s="124"/>
      <c r="AJ146" s="124"/>
      <c r="AK146" s="117" t="s">
        <v>1637</v>
      </c>
      <c r="AL146" s="117" t="s">
        <v>943</v>
      </c>
      <c r="AM146" s="117" t="s">
        <v>1638</v>
      </c>
      <c r="AN146" s="117" t="s">
        <v>932</v>
      </c>
      <c r="AO146" s="117" t="s">
        <v>1639</v>
      </c>
      <c r="AP146" s="117" t="s">
        <v>955</v>
      </c>
      <c r="AQ146" s="117" t="s">
        <v>1640</v>
      </c>
      <c r="AR146" s="117" t="s">
        <v>1641</v>
      </c>
      <c r="AS146" s="117" t="s">
        <v>943</v>
      </c>
      <c r="AT146" s="117" t="s">
        <v>933</v>
      </c>
      <c r="AU146" s="117" t="s">
        <v>933</v>
      </c>
      <c r="AV146" s="117" t="s">
        <v>932</v>
      </c>
      <c r="AW146" s="117">
        <v>0.5</v>
      </c>
      <c r="AX146" s="117" t="s">
        <v>933</v>
      </c>
      <c r="AY146" s="117" t="s">
        <v>944</v>
      </c>
      <c r="AZ146" s="117">
        <v>0.5</v>
      </c>
      <c r="BA146" s="117" t="s">
        <v>932</v>
      </c>
      <c r="BB146" s="117" t="s">
        <v>933</v>
      </c>
      <c r="BC146" s="117" t="s">
        <v>932</v>
      </c>
      <c r="BD146" s="117" t="s">
        <v>932</v>
      </c>
      <c r="BE146" s="117" t="s">
        <v>932</v>
      </c>
      <c r="BF146" s="117">
        <v>0</v>
      </c>
      <c r="BG146" s="124"/>
      <c r="BH146" s="117">
        <v>15</v>
      </c>
      <c r="BI146" s="117" t="s">
        <v>1642</v>
      </c>
      <c r="BJ146" s="117" t="s">
        <v>932</v>
      </c>
      <c r="BK146" s="117" t="s">
        <v>932</v>
      </c>
      <c r="BL146" s="117">
        <v>1</v>
      </c>
      <c r="BM146" s="117" t="s">
        <v>932</v>
      </c>
      <c r="BN146" s="124"/>
      <c r="BO146" s="117" t="s">
        <v>932</v>
      </c>
      <c r="BP146" s="117">
        <v>1</v>
      </c>
      <c r="BQ146" s="117" t="s">
        <v>932</v>
      </c>
      <c r="BR146" s="124"/>
      <c r="BS146" s="117">
        <v>100</v>
      </c>
      <c r="BT146" s="117" t="s">
        <v>1260</v>
      </c>
      <c r="BU146" s="117" t="s">
        <v>932</v>
      </c>
      <c r="BV146" s="117">
        <v>205</v>
      </c>
      <c r="BW146" s="117" t="s">
        <v>1643</v>
      </c>
      <c r="BX146" s="117" t="s">
        <v>1644</v>
      </c>
      <c r="BY146" s="117" t="s">
        <v>1645</v>
      </c>
      <c r="BZ146" s="124"/>
      <c r="CA146" s="124"/>
      <c r="CB146" s="117" t="s">
        <v>932</v>
      </c>
      <c r="CC146" s="117" t="s">
        <v>1443</v>
      </c>
      <c r="CD146" s="117" t="s">
        <v>932</v>
      </c>
      <c r="CE146" s="117" t="s">
        <v>932</v>
      </c>
      <c r="CF146" s="117">
        <v>30</v>
      </c>
      <c r="CG146" s="117">
        <v>1.5</v>
      </c>
      <c r="CH146" s="117" t="s">
        <v>932</v>
      </c>
      <c r="CI146" s="117" t="s">
        <v>932</v>
      </c>
    </row>
    <row r="147" spans="1:87" s="117" customFormat="1" ht="25.5">
      <c r="A147" s="114">
        <v>41740.553518518522</v>
      </c>
      <c r="B147" s="115">
        <v>41740.553518518522</v>
      </c>
      <c r="C147" s="114">
        <v>41740.553530092591</v>
      </c>
      <c r="D147" s="115">
        <v>41740.553530092591</v>
      </c>
      <c r="E147" s="116" t="s">
        <v>1646</v>
      </c>
      <c r="F147" s="122" t="s">
        <v>1647</v>
      </c>
      <c r="G147" s="117" t="s">
        <v>1648</v>
      </c>
      <c r="H147" s="124"/>
      <c r="I147" s="117">
        <v>262</v>
      </c>
      <c r="J147" s="118" t="s">
        <v>1144</v>
      </c>
      <c r="K147" s="117" t="s">
        <v>1649</v>
      </c>
      <c r="L147" s="117" t="s">
        <v>931</v>
      </c>
      <c r="M147" s="124"/>
      <c r="N147" s="124"/>
      <c r="O147" s="124"/>
      <c r="P147" s="124"/>
      <c r="Q147" s="124"/>
      <c r="R147" s="124"/>
      <c r="S147" s="124"/>
      <c r="T147" s="124"/>
      <c r="U147" s="124"/>
      <c r="V147" s="124"/>
      <c r="W147" s="124"/>
      <c r="X147" s="124"/>
      <c r="Y147" s="124"/>
      <c r="Z147" s="124"/>
      <c r="AA147" s="124"/>
      <c r="AB147" s="124"/>
      <c r="AC147" s="124"/>
      <c r="AD147" s="124"/>
      <c r="AE147" s="124"/>
      <c r="AF147" s="124"/>
      <c r="AG147" s="124"/>
      <c r="AH147" s="124"/>
      <c r="AI147" s="124"/>
      <c r="AJ147" s="124"/>
      <c r="AK147" s="117" t="s">
        <v>936</v>
      </c>
      <c r="AL147" s="117" t="s">
        <v>943</v>
      </c>
      <c r="AM147" s="117" t="s">
        <v>1650</v>
      </c>
      <c r="AN147" s="117" t="s">
        <v>932</v>
      </c>
      <c r="AO147" s="124"/>
      <c r="AP147" s="117" t="s">
        <v>955</v>
      </c>
      <c r="AQ147" s="117" t="s">
        <v>1651</v>
      </c>
      <c r="AR147" s="117" t="s">
        <v>1652</v>
      </c>
      <c r="AS147" s="117" t="s">
        <v>943</v>
      </c>
      <c r="AT147" s="117" t="s">
        <v>933</v>
      </c>
      <c r="AU147" s="117" t="s">
        <v>933</v>
      </c>
      <c r="AV147" s="124"/>
      <c r="AW147" s="124"/>
      <c r="AX147" s="124"/>
      <c r="AY147" s="124"/>
      <c r="AZ147" s="124"/>
      <c r="BA147" s="117" t="s">
        <v>932</v>
      </c>
      <c r="BB147" s="117" t="s">
        <v>932</v>
      </c>
      <c r="BC147" s="117" t="s">
        <v>932</v>
      </c>
      <c r="BD147" s="117" t="s">
        <v>932</v>
      </c>
      <c r="BE147" s="117" t="s">
        <v>932</v>
      </c>
      <c r="BF147" s="117">
        <v>0</v>
      </c>
      <c r="BG147" s="124"/>
      <c r="BH147" s="117">
        <v>15</v>
      </c>
      <c r="BI147" s="117" t="s">
        <v>943</v>
      </c>
      <c r="BJ147" s="117" t="s">
        <v>932</v>
      </c>
      <c r="BK147" s="117" t="s">
        <v>932</v>
      </c>
      <c r="BL147" s="117">
        <v>1</v>
      </c>
      <c r="BM147" s="117" t="s">
        <v>932</v>
      </c>
      <c r="BN147" s="117" t="s">
        <v>932</v>
      </c>
      <c r="BO147" s="117" t="s">
        <v>932</v>
      </c>
      <c r="BP147" s="124"/>
      <c r="BQ147" s="124"/>
      <c r="BR147" s="124"/>
      <c r="BS147" s="117">
        <v>50</v>
      </c>
      <c r="BT147" s="117" t="s">
        <v>1187</v>
      </c>
      <c r="BU147" s="117" t="s">
        <v>932</v>
      </c>
      <c r="BV147" s="117">
        <v>262</v>
      </c>
      <c r="BW147" s="117" t="s">
        <v>1187</v>
      </c>
      <c r="BX147" s="117" t="s">
        <v>190</v>
      </c>
      <c r="BY147" s="117" t="s">
        <v>1443</v>
      </c>
      <c r="BZ147" s="124"/>
      <c r="CA147" s="124"/>
      <c r="CB147" s="117" t="s">
        <v>932</v>
      </c>
      <c r="CC147" s="124"/>
      <c r="CD147" s="117" t="s">
        <v>932</v>
      </c>
      <c r="CE147" s="117" t="s">
        <v>932</v>
      </c>
      <c r="CF147" s="117">
        <v>28</v>
      </c>
      <c r="CG147" s="117">
        <v>1</v>
      </c>
      <c r="CH147" s="117" t="s">
        <v>932</v>
      </c>
      <c r="CI147" s="117" t="s">
        <v>932</v>
      </c>
    </row>
    <row r="148" spans="1:87" s="117" customFormat="1" ht="25.5">
      <c r="A148" s="114">
        <v>41740.574861111112</v>
      </c>
      <c r="B148" s="115">
        <v>41740.574861111112</v>
      </c>
      <c r="C148" s="114">
        <v>41740.574861111112</v>
      </c>
      <c r="D148" s="115">
        <v>41740.574861111112</v>
      </c>
      <c r="E148" s="116" t="s">
        <v>1653</v>
      </c>
      <c r="F148" s="122" t="s">
        <v>1654</v>
      </c>
      <c r="G148" s="117" t="s">
        <v>1655</v>
      </c>
      <c r="H148" s="117">
        <v>5512232</v>
      </c>
      <c r="I148" s="117">
        <v>231</v>
      </c>
      <c r="J148" s="118" t="s">
        <v>1144</v>
      </c>
      <c r="K148" s="117" t="s">
        <v>1649</v>
      </c>
      <c r="L148" s="117" t="s">
        <v>931</v>
      </c>
      <c r="M148" s="124"/>
      <c r="N148" s="124"/>
      <c r="O148" s="124"/>
      <c r="P148" s="124"/>
      <c r="Q148" s="124"/>
      <c r="R148" s="124"/>
      <c r="S148" s="124"/>
      <c r="T148" s="124"/>
      <c r="U148" s="124"/>
      <c r="V148" s="124"/>
      <c r="W148" s="124"/>
      <c r="X148" s="124"/>
      <c r="Y148" s="124"/>
      <c r="Z148" s="124"/>
      <c r="AA148" s="124"/>
      <c r="AB148" s="124"/>
      <c r="AC148" s="124"/>
      <c r="AD148" s="124"/>
      <c r="AE148" s="124"/>
      <c r="AF148" s="124"/>
      <c r="AG148" s="124"/>
      <c r="AH148" s="124"/>
      <c r="AI148" s="124"/>
      <c r="AJ148" s="124"/>
      <c r="AK148" s="117" t="s">
        <v>1656</v>
      </c>
      <c r="AL148" s="117" t="s">
        <v>943</v>
      </c>
      <c r="AM148" s="117" t="s">
        <v>992</v>
      </c>
      <c r="AN148" s="117" t="s">
        <v>932</v>
      </c>
      <c r="AO148" s="124"/>
      <c r="AP148" s="117" t="s">
        <v>1657</v>
      </c>
      <c r="AQ148" s="117" t="s">
        <v>956</v>
      </c>
      <c r="AR148" s="117" t="s">
        <v>992</v>
      </c>
      <c r="AS148" s="117" t="s">
        <v>943</v>
      </c>
      <c r="AT148" s="117" t="s">
        <v>933</v>
      </c>
      <c r="AU148" s="117" t="s">
        <v>933</v>
      </c>
      <c r="AV148" s="117" t="s">
        <v>932</v>
      </c>
      <c r="AW148" s="117">
        <v>1.1000000000000001</v>
      </c>
      <c r="AX148" s="117" t="s">
        <v>932</v>
      </c>
      <c r="AY148" s="117">
        <v>1.1000000000000001</v>
      </c>
      <c r="AZ148" s="117">
        <v>0.2</v>
      </c>
      <c r="BA148" s="117" t="s">
        <v>932</v>
      </c>
      <c r="BB148" s="117" t="s">
        <v>932</v>
      </c>
      <c r="BC148" s="117" t="s">
        <v>932</v>
      </c>
      <c r="BD148" s="117" t="s">
        <v>932</v>
      </c>
      <c r="BE148" s="117" t="s">
        <v>932</v>
      </c>
      <c r="BF148" s="117">
        <v>1</v>
      </c>
      <c r="BG148" s="117" t="s">
        <v>932</v>
      </c>
      <c r="BH148" s="117">
        <v>15</v>
      </c>
      <c r="BI148" s="117" t="s">
        <v>1658</v>
      </c>
      <c r="BJ148" s="117" t="s">
        <v>932</v>
      </c>
      <c r="BK148" s="117" t="s">
        <v>933</v>
      </c>
      <c r="BL148" s="117" t="s">
        <v>1082</v>
      </c>
      <c r="BM148" s="117" t="s">
        <v>932</v>
      </c>
      <c r="BN148" s="124"/>
      <c r="BO148" s="117" t="s">
        <v>932</v>
      </c>
      <c r="BP148" s="117">
        <v>2</v>
      </c>
      <c r="BQ148" s="117" t="s">
        <v>933</v>
      </c>
      <c r="BR148" s="124"/>
      <c r="BS148" s="117">
        <v>25</v>
      </c>
      <c r="BT148" s="117" t="s">
        <v>1260</v>
      </c>
      <c r="BU148" s="117" t="s">
        <v>932</v>
      </c>
      <c r="BV148" s="117">
        <v>231</v>
      </c>
      <c r="BW148" s="117" t="s">
        <v>1659</v>
      </c>
      <c r="BX148" s="117" t="s">
        <v>190</v>
      </c>
      <c r="BY148" s="117" t="s">
        <v>1443</v>
      </c>
      <c r="BZ148" s="124"/>
      <c r="CA148" s="124"/>
      <c r="CB148" s="117" t="s">
        <v>932</v>
      </c>
      <c r="CC148" s="124"/>
      <c r="CD148" s="117" t="s">
        <v>932</v>
      </c>
      <c r="CE148" s="117" t="s">
        <v>932</v>
      </c>
      <c r="CF148" s="117">
        <v>31</v>
      </c>
      <c r="CG148" s="117">
        <v>0.2</v>
      </c>
      <c r="CH148" s="117" t="s">
        <v>932</v>
      </c>
      <c r="CI148" s="117" t="s">
        <v>932</v>
      </c>
    </row>
    <row r="149" spans="1:87" s="117" customFormat="1" ht="25.5">
      <c r="A149" s="114">
        <v>41740.59884259259</v>
      </c>
      <c r="B149" s="115">
        <v>41740.59884259259</v>
      </c>
      <c r="C149" s="124"/>
      <c r="D149" s="124"/>
      <c r="E149" s="125" t="s">
        <v>1660</v>
      </c>
      <c r="F149" s="124"/>
      <c r="G149" s="124"/>
      <c r="H149" s="124"/>
      <c r="I149" s="124"/>
      <c r="J149" s="124"/>
      <c r="K149" s="124"/>
      <c r="L149" s="124"/>
      <c r="M149" s="124"/>
      <c r="N149" s="124"/>
      <c r="O149" s="124"/>
      <c r="P149" s="124"/>
      <c r="Q149" s="124"/>
      <c r="R149" s="124"/>
      <c r="S149" s="124"/>
      <c r="T149" s="124"/>
      <c r="U149" s="124"/>
      <c r="V149" s="124"/>
      <c r="W149" s="124"/>
      <c r="X149" s="124"/>
      <c r="Y149" s="124"/>
      <c r="Z149" s="124"/>
      <c r="AA149" s="124"/>
      <c r="AB149" s="124"/>
      <c r="AC149" s="124"/>
      <c r="AD149" s="124"/>
      <c r="AE149" s="124"/>
      <c r="AF149" s="124"/>
      <c r="AG149" s="124"/>
      <c r="AH149" s="124"/>
      <c r="AI149" s="124"/>
      <c r="AJ149" s="124"/>
      <c r="AK149" s="124"/>
      <c r="AL149" s="124"/>
      <c r="AM149" s="124"/>
      <c r="AN149" s="124"/>
      <c r="AO149" s="124"/>
      <c r="AP149" s="124"/>
      <c r="AQ149" s="124"/>
      <c r="AR149" s="124"/>
      <c r="AS149" s="124"/>
      <c r="AT149" s="124"/>
      <c r="AU149" s="124"/>
      <c r="AV149" s="124"/>
      <c r="AW149" s="124"/>
      <c r="AX149" s="124"/>
      <c r="AY149" s="124"/>
      <c r="AZ149" s="124"/>
      <c r="BA149" s="124"/>
      <c r="BB149" s="124"/>
      <c r="BC149" s="124"/>
      <c r="BD149" s="124"/>
      <c r="BE149" s="124"/>
      <c r="BF149" s="124"/>
      <c r="BG149" s="124"/>
      <c r="BH149" s="124"/>
      <c r="BI149" s="124"/>
      <c r="BJ149" s="124"/>
      <c r="BK149" s="124"/>
      <c r="BL149" s="124"/>
      <c r="BM149" s="124"/>
      <c r="BN149" s="124"/>
      <c r="BO149" s="124"/>
      <c r="BP149" s="124"/>
      <c r="BQ149" s="124"/>
      <c r="BR149" s="124"/>
      <c r="BS149" s="124"/>
      <c r="BT149" s="124"/>
      <c r="BU149" s="124"/>
      <c r="BV149" s="124"/>
      <c r="BW149" s="124"/>
      <c r="BX149" s="124"/>
      <c r="BY149" s="124"/>
      <c r="BZ149" s="124"/>
      <c r="CA149" s="124"/>
      <c r="CB149" s="124"/>
      <c r="CC149" s="124"/>
      <c r="CD149" s="124"/>
      <c r="CE149" s="124"/>
      <c r="CF149" s="124"/>
      <c r="CG149" s="124"/>
      <c r="CH149" s="124"/>
      <c r="CI149" s="124"/>
    </row>
    <row r="150" spans="1:87" s="117" customFormat="1" ht="25.5">
      <c r="A150" s="114">
        <v>41740.599386574075</v>
      </c>
      <c r="B150" s="115">
        <v>41740.599386574075</v>
      </c>
      <c r="C150" s="114">
        <v>41740.599849537037</v>
      </c>
      <c r="D150" s="115">
        <v>41740.599849537037</v>
      </c>
      <c r="E150" s="116" t="s">
        <v>1661</v>
      </c>
      <c r="F150" s="122" t="s">
        <v>1662</v>
      </c>
      <c r="G150" s="117" t="s">
        <v>1663</v>
      </c>
      <c r="H150" s="117" t="s">
        <v>1664</v>
      </c>
      <c r="I150" s="117">
        <v>281</v>
      </c>
      <c r="J150" s="118" t="s">
        <v>998</v>
      </c>
      <c r="K150" s="117" t="s">
        <v>1665</v>
      </c>
      <c r="L150" s="117" t="s">
        <v>931</v>
      </c>
      <c r="M150" s="124"/>
      <c r="N150" s="124"/>
      <c r="O150" s="124"/>
      <c r="P150" s="124"/>
      <c r="Q150" s="124"/>
      <c r="R150" s="124"/>
      <c r="S150" s="124"/>
      <c r="T150" s="124"/>
      <c r="U150" s="124"/>
      <c r="V150" s="124"/>
      <c r="W150" s="124"/>
      <c r="X150" s="124"/>
      <c r="Y150" s="124"/>
      <c r="Z150" s="124"/>
      <c r="AA150" s="124"/>
      <c r="AB150" s="124"/>
      <c r="AC150" s="124"/>
      <c r="AD150" s="124"/>
      <c r="AE150" s="124"/>
      <c r="AF150" s="124"/>
      <c r="AG150" s="124"/>
      <c r="AH150" s="124"/>
      <c r="AI150" s="124"/>
      <c r="AJ150" s="124"/>
      <c r="AK150" s="117" t="s">
        <v>936</v>
      </c>
      <c r="AL150" s="117" t="s">
        <v>943</v>
      </c>
      <c r="AM150" s="117" t="s">
        <v>1652</v>
      </c>
      <c r="AN150" s="117" t="s">
        <v>932</v>
      </c>
      <c r="AO150" s="124"/>
      <c r="AP150" s="117" t="s">
        <v>1330</v>
      </c>
      <c r="AQ150" s="117" t="s">
        <v>940</v>
      </c>
      <c r="AR150" s="117" t="s">
        <v>1652</v>
      </c>
      <c r="AS150" s="117" t="s">
        <v>958</v>
      </c>
      <c r="AT150" s="117" t="s">
        <v>933</v>
      </c>
      <c r="AU150" s="117" t="s">
        <v>933</v>
      </c>
      <c r="AV150" s="117" t="s">
        <v>933</v>
      </c>
      <c r="AW150" s="117">
        <v>28.8</v>
      </c>
      <c r="AX150" s="117" t="s">
        <v>933</v>
      </c>
      <c r="AY150" s="117" t="s">
        <v>944</v>
      </c>
      <c r="AZ150" s="117">
        <v>30.2</v>
      </c>
      <c r="BA150" s="117" t="s">
        <v>932</v>
      </c>
      <c r="BB150" s="117" t="s">
        <v>932</v>
      </c>
      <c r="BC150" s="117" t="s">
        <v>932</v>
      </c>
      <c r="BD150" s="117" t="s">
        <v>932</v>
      </c>
      <c r="BE150" s="117" t="s">
        <v>932</v>
      </c>
      <c r="BF150" s="117">
        <v>0</v>
      </c>
      <c r="BG150" s="124"/>
      <c r="BH150" s="117">
        <v>15</v>
      </c>
      <c r="BI150" s="117" t="s">
        <v>1666</v>
      </c>
      <c r="BJ150" s="124"/>
      <c r="BK150" s="117" t="s">
        <v>932</v>
      </c>
      <c r="BL150" s="117">
        <v>1</v>
      </c>
      <c r="BM150" s="117" t="s">
        <v>932</v>
      </c>
      <c r="BN150" s="117" t="s">
        <v>932</v>
      </c>
      <c r="BO150" s="117" t="s">
        <v>932</v>
      </c>
      <c r="BP150" s="117">
        <v>1</v>
      </c>
      <c r="BQ150" s="117" t="s">
        <v>932</v>
      </c>
      <c r="BR150" s="124"/>
      <c r="BS150" s="117">
        <v>100</v>
      </c>
      <c r="BT150" s="117" t="s">
        <v>1667</v>
      </c>
      <c r="BU150" s="124"/>
      <c r="BV150" s="117">
        <v>281</v>
      </c>
      <c r="BW150" s="117" t="s">
        <v>1668</v>
      </c>
      <c r="BX150" s="117" t="s">
        <v>190</v>
      </c>
      <c r="BY150" s="117" t="s">
        <v>1443</v>
      </c>
      <c r="BZ150" s="124"/>
      <c r="CA150" s="124"/>
      <c r="CB150" s="117" t="s">
        <v>932</v>
      </c>
      <c r="CC150" s="124"/>
      <c r="CD150" s="124"/>
      <c r="CE150" s="124"/>
      <c r="CF150" s="117">
        <v>31</v>
      </c>
      <c r="CG150" s="117">
        <v>0.2</v>
      </c>
      <c r="CH150" s="117" t="s">
        <v>932</v>
      </c>
      <c r="CI150" s="117" t="s">
        <v>932</v>
      </c>
    </row>
    <row r="151" spans="1:87" s="117" customFormat="1" ht="25.5">
      <c r="A151" s="114">
        <v>41740.664467592593</v>
      </c>
      <c r="B151" s="115">
        <v>41740.664467592593</v>
      </c>
      <c r="C151" s="114">
        <v>41740.664479166669</v>
      </c>
      <c r="D151" s="115">
        <v>41740.664479166669</v>
      </c>
      <c r="E151" s="116" t="s">
        <v>1669</v>
      </c>
      <c r="F151" s="122" t="s">
        <v>1670</v>
      </c>
      <c r="G151" s="117" t="s">
        <v>1671</v>
      </c>
      <c r="H151" s="117" t="s">
        <v>1672</v>
      </c>
      <c r="I151" s="117">
        <v>252</v>
      </c>
      <c r="J151" s="118" t="s">
        <v>1144</v>
      </c>
      <c r="K151" s="117" t="s">
        <v>1673</v>
      </c>
      <c r="L151" s="117" t="s">
        <v>931</v>
      </c>
      <c r="M151" s="117" t="s">
        <v>932</v>
      </c>
      <c r="N151" s="117" t="s">
        <v>932</v>
      </c>
      <c r="O151" s="117" t="s">
        <v>932</v>
      </c>
      <c r="P151" s="117" t="s">
        <v>932</v>
      </c>
      <c r="Q151" s="117" t="s">
        <v>932</v>
      </c>
      <c r="R151" s="117" t="s">
        <v>932</v>
      </c>
      <c r="S151" s="117" t="s">
        <v>932</v>
      </c>
      <c r="T151" s="119" t="s">
        <v>932</v>
      </c>
      <c r="U151" s="117" t="s">
        <v>932</v>
      </c>
      <c r="V151" s="117" t="s">
        <v>932</v>
      </c>
      <c r="W151" s="117" t="s">
        <v>932</v>
      </c>
      <c r="X151" s="117" t="s">
        <v>934</v>
      </c>
      <c r="Y151" s="117" t="s">
        <v>934</v>
      </c>
      <c r="Z151" s="117" t="s">
        <v>934</v>
      </c>
      <c r="AA151" s="117" t="s">
        <v>932</v>
      </c>
      <c r="AB151" s="117" t="s">
        <v>934</v>
      </c>
      <c r="AC151" s="117" t="s">
        <v>934</v>
      </c>
      <c r="AD151" s="117" t="s">
        <v>934</v>
      </c>
      <c r="AE151" s="117" t="s">
        <v>934</v>
      </c>
      <c r="AF151" s="117" t="s">
        <v>934</v>
      </c>
      <c r="AG151" s="117" t="s">
        <v>932</v>
      </c>
      <c r="AH151" s="117" t="s">
        <v>934</v>
      </c>
      <c r="AI151" s="117" t="s">
        <v>934</v>
      </c>
      <c r="AJ151" s="117" t="s">
        <v>990</v>
      </c>
      <c r="AK151" s="117" t="s">
        <v>936</v>
      </c>
      <c r="AL151" s="117" t="s">
        <v>943</v>
      </c>
      <c r="AM151" s="117" t="s">
        <v>1622</v>
      </c>
      <c r="AN151" s="117" t="s">
        <v>932</v>
      </c>
      <c r="AO151" s="117" t="s">
        <v>1674</v>
      </c>
      <c r="AP151" s="124"/>
      <c r="AQ151" s="124"/>
      <c r="AR151" s="124"/>
      <c r="AS151" s="124"/>
      <c r="AT151" s="124"/>
      <c r="AU151" s="124"/>
      <c r="AV151" s="124"/>
      <c r="AW151" s="124"/>
      <c r="AX151" s="124"/>
      <c r="AY151" s="124"/>
      <c r="AZ151" s="124"/>
      <c r="BA151" s="124"/>
      <c r="BB151" s="124"/>
      <c r="BC151" s="124"/>
      <c r="BD151" s="124"/>
      <c r="BE151" s="124"/>
      <c r="BF151" s="124"/>
      <c r="BG151" s="124"/>
      <c r="BH151" s="124"/>
      <c r="BI151" s="124"/>
      <c r="BJ151" s="124"/>
      <c r="BK151" s="124"/>
      <c r="BL151" s="124"/>
      <c r="BM151" s="124"/>
      <c r="BN151" s="124"/>
      <c r="BO151" s="124"/>
      <c r="BP151" s="124"/>
      <c r="BQ151" s="124"/>
      <c r="BR151" s="124"/>
      <c r="BS151" s="124"/>
      <c r="BT151" s="124"/>
      <c r="BU151" s="124"/>
      <c r="BV151" s="124"/>
      <c r="BW151" s="124"/>
      <c r="BX151" s="124"/>
      <c r="BY151" s="124"/>
      <c r="BZ151" s="124"/>
      <c r="CA151" s="124"/>
      <c r="CB151" s="124"/>
      <c r="CC151" s="124"/>
      <c r="CD151" s="124"/>
      <c r="CE151" s="124"/>
      <c r="CF151" s="124"/>
      <c r="CG151" s="124"/>
      <c r="CH151" s="124"/>
      <c r="CI151" s="124"/>
    </row>
    <row r="152" spans="1:87" s="117" customFormat="1" ht="25.5">
      <c r="A152" s="114">
        <v>41740.672743055555</v>
      </c>
      <c r="B152" s="115">
        <v>41740.672743055555</v>
      </c>
      <c r="C152" s="114">
        <v>41740.672754629632</v>
      </c>
      <c r="D152" s="115">
        <v>41740.672754629632</v>
      </c>
      <c r="E152" s="116" t="s">
        <v>1675</v>
      </c>
      <c r="F152" s="122" t="s">
        <v>1676</v>
      </c>
      <c r="G152" s="117" t="s">
        <v>1677</v>
      </c>
      <c r="H152" s="117" t="s">
        <v>1678</v>
      </c>
      <c r="I152" s="117">
        <v>402</v>
      </c>
      <c r="J152" s="118" t="s">
        <v>998</v>
      </c>
      <c r="K152" s="117" t="s">
        <v>1679</v>
      </c>
      <c r="L152" s="117" t="s">
        <v>966</v>
      </c>
      <c r="M152" s="117" t="s">
        <v>932</v>
      </c>
      <c r="N152" s="117" t="s">
        <v>932</v>
      </c>
      <c r="O152" s="117" t="s">
        <v>932</v>
      </c>
      <c r="P152" s="117" t="s">
        <v>932</v>
      </c>
      <c r="Q152" s="117" t="s">
        <v>934</v>
      </c>
      <c r="R152" s="117" t="s">
        <v>934</v>
      </c>
      <c r="S152" s="117" t="s">
        <v>934</v>
      </c>
      <c r="T152" s="119" t="s">
        <v>932</v>
      </c>
      <c r="U152" s="117" t="s">
        <v>932</v>
      </c>
      <c r="V152" s="117" t="s">
        <v>932</v>
      </c>
      <c r="W152" s="117" t="s">
        <v>932</v>
      </c>
      <c r="X152" s="117" t="s">
        <v>934</v>
      </c>
      <c r="Y152" s="117" t="s">
        <v>934</v>
      </c>
      <c r="Z152" s="117" t="s">
        <v>934</v>
      </c>
      <c r="AA152" s="117" t="s">
        <v>934</v>
      </c>
      <c r="AB152" s="117" t="s">
        <v>934</v>
      </c>
      <c r="AC152" s="117" t="s">
        <v>934</v>
      </c>
      <c r="AD152" s="117" t="s">
        <v>934</v>
      </c>
      <c r="AE152" s="117" t="s">
        <v>934</v>
      </c>
      <c r="AF152" s="117" t="s">
        <v>934</v>
      </c>
      <c r="AG152" s="117" t="s">
        <v>934</v>
      </c>
      <c r="AH152" s="117" t="s">
        <v>934</v>
      </c>
      <c r="AI152" s="117" t="s">
        <v>934</v>
      </c>
      <c r="AJ152" s="117" t="s">
        <v>943</v>
      </c>
      <c r="AK152" s="117" t="s">
        <v>1656</v>
      </c>
      <c r="AL152" s="117" t="s">
        <v>943</v>
      </c>
      <c r="AM152" s="117" t="s">
        <v>992</v>
      </c>
      <c r="AN152" s="117" t="s">
        <v>932</v>
      </c>
      <c r="AO152" s="117" t="s">
        <v>1628</v>
      </c>
      <c r="AP152" s="124"/>
      <c r="AQ152" s="124"/>
      <c r="AR152" s="124"/>
      <c r="AS152" s="124"/>
      <c r="AT152" s="124"/>
      <c r="AU152" s="124"/>
      <c r="AV152" s="124"/>
      <c r="AW152" s="124"/>
      <c r="AX152" s="124"/>
      <c r="AY152" s="124"/>
      <c r="AZ152" s="124"/>
      <c r="BA152" s="124"/>
      <c r="BB152" s="124"/>
      <c r="BC152" s="124"/>
      <c r="BD152" s="124"/>
      <c r="BE152" s="124"/>
      <c r="BF152" s="124"/>
      <c r="BG152" s="124"/>
      <c r="BH152" s="124"/>
      <c r="BI152" s="124"/>
      <c r="BJ152" s="124"/>
      <c r="BK152" s="124"/>
      <c r="BL152" s="124"/>
      <c r="BM152" s="124"/>
      <c r="BN152" s="124"/>
      <c r="BO152" s="124"/>
      <c r="BP152" s="124"/>
      <c r="BQ152" s="124"/>
      <c r="BR152" s="124"/>
      <c r="BS152" s="124"/>
      <c r="BT152" s="124"/>
      <c r="BU152" s="124"/>
      <c r="BV152" s="124"/>
      <c r="BW152" s="124"/>
      <c r="BX152" s="124"/>
      <c r="BY152" s="124"/>
      <c r="BZ152" s="124"/>
      <c r="CA152" s="124"/>
      <c r="CB152" s="124"/>
      <c r="CC152" s="124"/>
      <c r="CD152" s="124"/>
      <c r="CE152" s="124"/>
      <c r="CF152" s="124"/>
      <c r="CG152" s="124"/>
      <c r="CH152" s="124"/>
      <c r="CI152" s="124"/>
    </row>
    <row r="153" spans="1:87" s="117" customFormat="1" ht="42">
      <c r="A153" s="114">
        <v>41740.728171296294</v>
      </c>
      <c r="B153" s="115">
        <v>41740.728171296294</v>
      </c>
      <c r="C153" s="114">
        <v>41740.733101851853</v>
      </c>
      <c r="D153" s="115">
        <v>41740.733101851853</v>
      </c>
      <c r="E153" s="116" t="s">
        <v>1680</v>
      </c>
      <c r="F153" s="122" t="s">
        <v>1681</v>
      </c>
      <c r="G153" s="117" t="s">
        <v>1677</v>
      </c>
      <c r="H153" s="117">
        <v>5511984</v>
      </c>
      <c r="I153" s="117">
        <v>401</v>
      </c>
      <c r="J153" s="118" t="s">
        <v>998</v>
      </c>
      <c r="K153" s="117" t="s">
        <v>1682</v>
      </c>
      <c r="L153" s="117" t="s">
        <v>931</v>
      </c>
      <c r="M153" s="117" t="s">
        <v>932</v>
      </c>
      <c r="N153" s="117" t="s">
        <v>932</v>
      </c>
      <c r="O153" s="117" t="s">
        <v>932</v>
      </c>
      <c r="P153" s="117" t="s">
        <v>932</v>
      </c>
      <c r="Q153" s="117" t="s">
        <v>934</v>
      </c>
      <c r="R153" s="117" t="s">
        <v>932</v>
      </c>
      <c r="S153" s="117" t="s">
        <v>932</v>
      </c>
      <c r="T153" s="119" t="s">
        <v>932</v>
      </c>
      <c r="U153" s="117" t="s">
        <v>932</v>
      </c>
      <c r="V153" s="117" t="s">
        <v>932</v>
      </c>
      <c r="W153" s="117" t="s">
        <v>932</v>
      </c>
      <c r="X153" s="117" t="s">
        <v>934</v>
      </c>
      <c r="Y153" s="117" t="s">
        <v>934</v>
      </c>
      <c r="Z153" s="117" t="s">
        <v>934</v>
      </c>
      <c r="AA153" s="117" t="s">
        <v>934</v>
      </c>
      <c r="AB153" s="117" t="s">
        <v>934</v>
      </c>
      <c r="AC153" s="117" t="s">
        <v>932</v>
      </c>
      <c r="AD153" s="117" t="s">
        <v>934</v>
      </c>
      <c r="AE153" s="117" t="s">
        <v>934</v>
      </c>
      <c r="AF153" s="117" t="s">
        <v>934</v>
      </c>
      <c r="AG153" s="117" t="s">
        <v>934</v>
      </c>
      <c r="AH153" s="117" t="s">
        <v>934</v>
      </c>
      <c r="AI153" s="117" t="s">
        <v>934</v>
      </c>
      <c r="AJ153" s="117" t="s">
        <v>943</v>
      </c>
      <c r="AK153" s="117" t="s">
        <v>936</v>
      </c>
      <c r="AL153" s="117" t="s">
        <v>943</v>
      </c>
      <c r="AM153" s="117" t="s">
        <v>992</v>
      </c>
      <c r="AN153" s="117" t="s">
        <v>932</v>
      </c>
      <c r="AO153" s="124"/>
      <c r="AP153" s="117" t="s">
        <v>1683</v>
      </c>
      <c r="AQ153" s="124"/>
      <c r="AR153" s="117" t="s">
        <v>943</v>
      </c>
      <c r="AS153" s="117" t="s">
        <v>943</v>
      </c>
      <c r="AT153" s="117" t="s">
        <v>933</v>
      </c>
      <c r="AU153" s="117" t="s">
        <v>932</v>
      </c>
      <c r="AV153" s="117" t="s">
        <v>932</v>
      </c>
      <c r="AW153" s="117">
        <v>2.8</v>
      </c>
      <c r="AX153" s="117" t="s">
        <v>932</v>
      </c>
      <c r="AY153" s="117">
        <v>2.8</v>
      </c>
      <c r="AZ153" s="117">
        <v>31.8</v>
      </c>
      <c r="BA153" s="117" t="s">
        <v>932</v>
      </c>
      <c r="BB153" s="117" t="s">
        <v>932</v>
      </c>
      <c r="BC153" s="117" t="s">
        <v>932</v>
      </c>
      <c r="BD153" s="117" t="s">
        <v>932</v>
      </c>
      <c r="BE153" s="117" t="s">
        <v>932</v>
      </c>
      <c r="BF153" s="117">
        <v>0</v>
      </c>
      <c r="BG153" s="124"/>
      <c r="BH153" s="117">
        <v>15</v>
      </c>
      <c r="BI153" s="117" t="s">
        <v>1176</v>
      </c>
      <c r="BJ153" s="117" t="s">
        <v>932</v>
      </c>
      <c r="BK153" s="117" t="s">
        <v>932</v>
      </c>
      <c r="BL153" s="117">
        <v>1</v>
      </c>
      <c r="BM153" s="117" t="s">
        <v>932</v>
      </c>
      <c r="BN153" s="124"/>
      <c r="BO153" s="117" t="s">
        <v>932</v>
      </c>
      <c r="BP153" s="117">
        <v>0</v>
      </c>
      <c r="BQ153" s="124"/>
      <c r="BR153" s="124"/>
      <c r="BS153" s="117">
        <v>200</v>
      </c>
      <c r="BT153" s="117" t="s">
        <v>1260</v>
      </c>
      <c r="BU153" s="117" t="s">
        <v>932</v>
      </c>
      <c r="BV153" s="117">
        <v>401</v>
      </c>
      <c r="BW153" s="117" t="s">
        <v>1684</v>
      </c>
      <c r="BX153" s="117" t="s">
        <v>190</v>
      </c>
      <c r="BY153" s="124"/>
      <c r="BZ153" s="124"/>
      <c r="CA153" s="124"/>
      <c r="CB153" s="117" t="s">
        <v>932</v>
      </c>
      <c r="CC153" s="117" t="s">
        <v>1443</v>
      </c>
      <c r="CD153" s="117" t="s">
        <v>932</v>
      </c>
      <c r="CE153" s="117" t="s">
        <v>932</v>
      </c>
      <c r="CF153" s="117">
        <v>28</v>
      </c>
      <c r="CG153" s="117">
        <v>1</v>
      </c>
      <c r="CH153" s="117" t="s">
        <v>932</v>
      </c>
      <c r="CI153" s="117" t="s">
        <v>932</v>
      </c>
    </row>
    <row r="154" spans="1:87" s="117" customFormat="1" ht="25.5">
      <c r="A154" s="114">
        <v>41741.337071759262</v>
      </c>
      <c r="B154" s="124"/>
      <c r="C154" s="114">
        <v>41741.351875</v>
      </c>
      <c r="D154" s="115">
        <v>41741.351875</v>
      </c>
      <c r="E154" s="116" t="s">
        <v>1685</v>
      </c>
      <c r="F154" s="122" t="s">
        <v>1686</v>
      </c>
      <c r="G154" s="117" t="s">
        <v>1687</v>
      </c>
      <c r="H154" s="117" t="s">
        <v>1688</v>
      </c>
      <c r="I154" s="117">
        <v>293</v>
      </c>
      <c r="J154" s="118" t="s">
        <v>1144</v>
      </c>
      <c r="K154" s="117" t="s">
        <v>1649</v>
      </c>
      <c r="L154" s="117" t="s">
        <v>931</v>
      </c>
      <c r="M154" s="124"/>
      <c r="N154" s="124"/>
      <c r="O154" s="124"/>
      <c r="P154" s="124"/>
      <c r="Q154" s="124"/>
      <c r="R154" s="124"/>
      <c r="S154" s="124"/>
      <c r="T154" s="124"/>
      <c r="U154" s="124"/>
      <c r="V154" s="124"/>
      <c r="W154" s="124"/>
      <c r="X154" s="124"/>
      <c r="Y154" s="124"/>
      <c r="Z154" s="124"/>
      <c r="AA154" s="124"/>
      <c r="AB154" s="124"/>
      <c r="AC154" s="124"/>
      <c r="AD154" s="124"/>
      <c r="AE154" s="124"/>
      <c r="AF154" s="124"/>
      <c r="AG154" s="124"/>
      <c r="AH154" s="124"/>
      <c r="AI154" s="124"/>
      <c r="AJ154" s="124"/>
      <c r="AK154" s="117" t="s">
        <v>936</v>
      </c>
      <c r="AL154" s="117" t="s">
        <v>943</v>
      </c>
      <c r="AM154" s="117" t="s">
        <v>1652</v>
      </c>
      <c r="AN154" s="117" t="s">
        <v>932</v>
      </c>
      <c r="AO154" s="124"/>
      <c r="AP154" s="117" t="s">
        <v>1689</v>
      </c>
      <c r="AQ154" s="117" t="s">
        <v>1330</v>
      </c>
      <c r="AR154" s="117" t="s">
        <v>1652</v>
      </c>
      <c r="AS154" s="117" t="s">
        <v>1652</v>
      </c>
      <c r="AT154" s="117" t="s">
        <v>933</v>
      </c>
      <c r="AU154" s="117" t="s">
        <v>933</v>
      </c>
      <c r="AV154" s="117" t="s">
        <v>932</v>
      </c>
      <c r="AW154" s="117">
        <v>0.2</v>
      </c>
      <c r="AX154" s="117" t="s">
        <v>933</v>
      </c>
      <c r="AY154" s="117" t="s">
        <v>944</v>
      </c>
      <c r="AZ154" s="117">
        <v>0.2</v>
      </c>
      <c r="BA154" s="117" t="s">
        <v>932</v>
      </c>
      <c r="BB154" s="117" t="s">
        <v>933</v>
      </c>
      <c r="BC154" s="117" t="s">
        <v>932</v>
      </c>
      <c r="BD154" s="117" t="s">
        <v>932</v>
      </c>
      <c r="BE154" s="117" t="s">
        <v>932</v>
      </c>
      <c r="BF154" s="117">
        <v>1</v>
      </c>
      <c r="BG154" s="117" t="s">
        <v>933</v>
      </c>
      <c r="BH154" s="117" t="s">
        <v>956</v>
      </c>
      <c r="BI154" s="117" t="s">
        <v>1690</v>
      </c>
      <c r="BJ154" s="117" t="s">
        <v>932</v>
      </c>
      <c r="BK154" s="117" t="s">
        <v>932</v>
      </c>
      <c r="BL154" s="117">
        <v>1</v>
      </c>
      <c r="BM154" s="117" t="s">
        <v>932</v>
      </c>
      <c r="BN154" s="124"/>
      <c r="BO154" s="117" t="s">
        <v>932</v>
      </c>
      <c r="BP154" s="117">
        <v>1</v>
      </c>
      <c r="BQ154" s="124"/>
      <c r="BR154" s="124"/>
      <c r="BS154" s="117">
        <v>200</v>
      </c>
      <c r="BT154" s="117" t="s">
        <v>956</v>
      </c>
      <c r="BU154" s="117" t="s">
        <v>932</v>
      </c>
      <c r="BV154" s="117">
        <v>293</v>
      </c>
      <c r="BW154" s="117" t="s">
        <v>1691</v>
      </c>
      <c r="BX154" s="117">
        <v>6.05</v>
      </c>
      <c r="BY154" s="117" t="s">
        <v>1443</v>
      </c>
      <c r="BZ154" s="124"/>
      <c r="CA154" s="124"/>
      <c r="CB154" s="117" t="s">
        <v>932</v>
      </c>
      <c r="CC154" s="117" t="s">
        <v>190</v>
      </c>
      <c r="CD154" s="117" t="s">
        <v>932</v>
      </c>
      <c r="CE154" s="117" t="s">
        <v>932</v>
      </c>
      <c r="CF154" s="117">
        <v>28</v>
      </c>
      <c r="CG154" s="117">
        <v>0.1</v>
      </c>
      <c r="CH154" s="117" t="s">
        <v>932</v>
      </c>
      <c r="CI154" s="117" t="s">
        <v>932</v>
      </c>
    </row>
    <row r="155" spans="1:87" s="117" customFormat="1" ht="25.5">
      <c r="A155" s="114">
        <v>41741.408761574072</v>
      </c>
      <c r="B155" s="115">
        <v>41741.408761574072</v>
      </c>
      <c r="C155" s="114">
        <v>41741.451342592591</v>
      </c>
      <c r="D155" s="115">
        <v>41741.451342592591</v>
      </c>
      <c r="E155" s="116" t="s">
        <v>1692</v>
      </c>
      <c r="F155" s="122" t="s">
        <v>1693</v>
      </c>
      <c r="G155" s="117" t="s">
        <v>1694</v>
      </c>
      <c r="H155" s="117" t="s">
        <v>1695</v>
      </c>
      <c r="I155" s="117">
        <v>112</v>
      </c>
      <c r="J155" s="118" t="s">
        <v>998</v>
      </c>
      <c r="K155" s="117" t="s">
        <v>1649</v>
      </c>
      <c r="L155" s="117" t="s">
        <v>931</v>
      </c>
      <c r="M155" s="117" t="s">
        <v>932</v>
      </c>
      <c r="N155" s="117" t="s">
        <v>932</v>
      </c>
      <c r="O155" s="117" t="s">
        <v>932</v>
      </c>
      <c r="P155" s="117" t="s">
        <v>932</v>
      </c>
      <c r="Q155" s="117" t="s">
        <v>932</v>
      </c>
      <c r="R155" s="117" t="s">
        <v>932</v>
      </c>
      <c r="S155" s="117" t="s">
        <v>932</v>
      </c>
      <c r="T155" s="119" t="s">
        <v>932</v>
      </c>
      <c r="U155" s="117" t="s">
        <v>932</v>
      </c>
      <c r="V155" s="117" t="s">
        <v>932</v>
      </c>
      <c r="W155" s="117" t="s">
        <v>932</v>
      </c>
      <c r="X155" s="117" t="s">
        <v>932</v>
      </c>
      <c r="Y155" s="117" t="s">
        <v>934</v>
      </c>
      <c r="Z155" s="117" t="s">
        <v>932</v>
      </c>
      <c r="AA155" s="117" t="s">
        <v>933</v>
      </c>
      <c r="AB155" s="117" t="s">
        <v>932</v>
      </c>
      <c r="AC155" s="117" t="s">
        <v>932</v>
      </c>
      <c r="AD155" s="117" t="s">
        <v>934</v>
      </c>
      <c r="AE155" s="117" t="s">
        <v>934</v>
      </c>
      <c r="AF155" s="117" t="s">
        <v>933</v>
      </c>
      <c r="AG155" s="117" t="s">
        <v>933</v>
      </c>
      <c r="AH155" s="117" t="s">
        <v>933</v>
      </c>
      <c r="AI155" s="117" t="s">
        <v>934</v>
      </c>
      <c r="AJ155" s="117" t="s">
        <v>1062</v>
      </c>
      <c r="AK155" s="117" t="s">
        <v>936</v>
      </c>
      <c r="AL155" s="117" t="s">
        <v>943</v>
      </c>
      <c r="AM155" s="117" t="s">
        <v>1652</v>
      </c>
      <c r="AN155" s="117" t="s">
        <v>932</v>
      </c>
      <c r="AO155" s="117" t="s">
        <v>1696</v>
      </c>
      <c r="AP155" s="117" t="s">
        <v>1697</v>
      </c>
      <c r="AQ155" s="117">
        <v>1680</v>
      </c>
      <c r="AR155" s="117" t="s">
        <v>1652</v>
      </c>
      <c r="AS155" s="117" t="s">
        <v>943</v>
      </c>
      <c r="AT155" s="117" t="s">
        <v>933</v>
      </c>
      <c r="AU155" s="117" t="s">
        <v>933</v>
      </c>
      <c r="AV155" s="117" t="s">
        <v>932</v>
      </c>
      <c r="AW155" s="117">
        <v>0.9</v>
      </c>
      <c r="AX155" s="117" t="s">
        <v>932</v>
      </c>
      <c r="AY155" s="117">
        <v>0.2</v>
      </c>
      <c r="AZ155" s="117">
        <v>59.2</v>
      </c>
      <c r="BA155" s="117" t="s">
        <v>932</v>
      </c>
      <c r="BB155" s="117" t="s">
        <v>932</v>
      </c>
      <c r="BC155" s="117" t="s">
        <v>932</v>
      </c>
      <c r="BD155" s="117" t="s">
        <v>932</v>
      </c>
      <c r="BE155" s="117" t="s">
        <v>932</v>
      </c>
      <c r="BF155" s="117">
        <v>2</v>
      </c>
      <c r="BG155" s="117" t="s">
        <v>933</v>
      </c>
      <c r="BH155" s="117">
        <v>15</v>
      </c>
      <c r="BI155" s="117" t="s">
        <v>1698</v>
      </c>
      <c r="BJ155" s="117" t="s">
        <v>932</v>
      </c>
      <c r="BK155" s="117" t="s">
        <v>932</v>
      </c>
      <c r="BL155" s="117">
        <v>1</v>
      </c>
      <c r="BM155" s="117" t="s">
        <v>932</v>
      </c>
      <c r="BN155" s="117" t="s">
        <v>932</v>
      </c>
      <c r="BO155" s="117" t="s">
        <v>932</v>
      </c>
      <c r="BP155" s="117">
        <v>0</v>
      </c>
      <c r="BQ155" s="117" t="s">
        <v>933</v>
      </c>
      <c r="BR155" s="124"/>
      <c r="BS155" s="117">
        <v>200</v>
      </c>
      <c r="BT155" s="117" t="s">
        <v>1260</v>
      </c>
      <c r="BU155" s="117" t="s">
        <v>932</v>
      </c>
      <c r="BV155" s="117">
        <v>112</v>
      </c>
      <c r="BW155" s="117" t="s">
        <v>1699</v>
      </c>
      <c r="BX155" s="117">
        <v>6.05</v>
      </c>
      <c r="BY155" s="117" t="s">
        <v>1443</v>
      </c>
      <c r="BZ155" s="124"/>
      <c r="CA155" s="124"/>
      <c r="CB155" s="117" t="s">
        <v>932</v>
      </c>
      <c r="CC155" s="117" t="s">
        <v>190</v>
      </c>
      <c r="CD155" s="117" t="s">
        <v>932</v>
      </c>
      <c r="CE155" s="117" t="s">
        <v>932</v>
      </c>
      <c r="CF155" s="117">
        <v>28</v>
      </c>
      <c r="CG155" s="117">
        <v>0.1</v>
      </c>
      <c r="CH155" s="117" t="s">
        <v>932</v>
      </c>
      <c r="CI155" s="117" t="s">
        <v>932</v>
      </c>
    </row>
    <row r="156" spans="1:87" s="117" customFormat="1" ht="25.5">
      <c r="A156" s="114">
        <v>41741.415706018517</v>
      </c>
      <c r="B156" s="115">
        <v>41741.415706018517</v>
      </c>
      <c r="C156" s="114">
        <v>41741.462511574071</v>
      </c>
      <c r="D156" s="115">
        <v>41741.462511574071</v>
      </c>
      <c r="E156" s="116" t="s">
        <v>1700</v>
      </c>
      <c r="F156" s="122" t="s">
        <v>1679</v>
      </c>
      <c r="G156" s="117" t="s">
        <v>1701</v>
      </c>
      <c r="H156" s="117" t="s">
        <v>1678</v>
      </c>
      <c r="I156" s="117">
        <v>452</v>
      </c>
      <c r="J156" s="118" t="s">
        <v>1702</v>
      </c>
      <c r="K156" s="117" t="s">
        <v>1703</v>
      </c>
      <c r="L156" s="117" t="s">
        <v>966</v>
      </c>
      <c r="M156" s="117" t="s">
        <v>932</v>
      </c>
      <c r="N156" s="117" t="s">
        <v>932</v>
      </c>
      <c r="O156" s="117" t="s">
        <v>932</v>
      </c>
      <c r="P156" s="117" t="s">
        <v>932</v>
      </c>
      <c r="Q156" s="117" t="s">
        <v>932</v>
      </c>
      <c r="R156" s="117" t="s">
        <v>932</v>
      </c>
      <c r="S156" s="117" t="s">
        <v>932</v>
      </c>
      <c r="T156" s="119" t="s">
        <v>932</v>
      </c>
      <c r="U156" s="117" t="s">
        <v>932</v>
      </c>
      <c r="V156" s="117" t="s">
        <v>932</v>
      </c>
      <c r="W156" s="117" t="s">
        <v>932</v>
      </c>
      <c r="X156" s="117" t="s">
        <v>934</v>
      </c>
      <c r="Y156" s="117" t="s">
        <v>934</v>
      </c>
      <c r="Z156" s="117" t="s">
        <v>934</v>
      </c>
      <c r="AA156" s="117" t="s">
        <v>934</v>
      </c>
      <c r="AB156" s="117" t="s">
        <v>934</v>
      </c>
      <c r="AC156" s="117" t="s">
        <v>932</v>
      </c>
      <c r="AD156" s="117" t="s">
        <v>934</v>
      </c>
      <c r="AE156" s="117" t="s">
        <v>934</v>
      </c>
      <c r="AF156" s="117" t="s">
        <v>934</v>
      </c>
      <c r="AG156" s="117" t="s">
        <v>933</v>
      </c>
      <c r="AH156" s="117" t="s">
        <v>933</v>
      </c>
      <c r="AI156" s="117" t="s">
        <v>933</v>
      </c>
      <c r="AJ156" s="117" t="s">
        <v>943</v>
      </c>
      <c r="AK156" s="117" t="s">
        <v>1704</v>
      </c>
      <c r="AL156" s="117" t="s">
        <v>943</v>
      </c>
      <c r="AM156" s="117" t="s">
        <v>992</v>
      </c>
      <c r="AN156" s="117" t="s">
        <v>932</v>
      </c>
      <c r="AO156" s="117" t="s">
        <v>1705</v>
      </c>
      <c r="AP156" s="117" t="s">
        <v>940</v>
      </c>
      <c r="AQ156" s="117" t="s">
        <v>1330</v>
      </c>
      <c r="AR156" s="117" t="s">
        <v>1103</v>
      </c>
      <c r="AS156" s="117" t="s">
        <v>1706</v>
      </c>
      <c r="AT156" s="117" t="s">
        <v>933</v>
      </c>
      <c r="AU156" s="117" t="s">
        <v>932</v>
      </c>
      <c r="AV156" s="117" t="s">
        <v>932</v>
      </c>
      <c r="AW156" s="117">
        <v>0.4</v>
      </c>
      <c r="AX156" s="117" t="s">
        <v>932</v>
      </c>
      <c r="AY156" s="117">
        <v>0.4</v>
      </c>
      <c r="AZ156" s="117">
        <v>0.4</v>
      </c>
      <c r="BA156" s="117" t="s">
        <v>932</v>
      </c>
      <c r="BB156" s="117" t="s">
        <v>932</v>
      </c>
      <c r="BC156" s="117" t="s">
        <v>932</v>
      </c>
      <c r="BD156" s="117" t="s">
        <v>932</v>
      </c>
      <c r="BE156" s="117" t="s">
        <v>932</v>
      </c>
      <c r="BF156" s="117">
        <v>0</v>
      </c>
      <c r="BG156" s="124"/>
      <c r="BH156" s="117">
        <v>15</v>
      </c>
      <c r="BI156" s="117" t="s">
        <v>1707</v>
      </c>
      <c r="BJ156" s="117" t="s">
        <v>932</v>
      </c>
      <c r="BK156" s="117" t="s">
        <v>932</v>
      </c>
      <c r="BL156" s="117">
        <v>1</v>
      </c>
      <c r="BM156" s="117" t="s">
        <v>932</v>
      </c>
      <c r="BN156" s="117" t="s">
        <v>932</v>
      </c>
      <c r="BO156" s="117" t="s">
        <v>932</v>
      </c>
      <c r="BP156" s="117">
        <v>0</v>
      </c>
      <c r="BQ156" s="117" t="s">
        <v>932</v>
      </c>
      <c r="BR156" s="124"/>
      <c r="BS156" s="117">
        <v>100</v>
      </c>
      <c r="BT156" s="117" t="s">
        <v>956</v>
      </c>
      <c r="BU156" s="117" t="s">
        <v>932</v>
      </c>
      <c r="BV156" s="117">
        <v>452</v>
      </c>
      <c r="BW156" s="117" t="s">
        <v>1691</v>
      </c>
      <c r="BX156" s="117">
        <v>6.05</v>
      </c>
      <c r="BY156" s="117" t="s">
        <v>1443</v>
      </c>
      <c r="BZ156" s="124"/>
      <c r="CA156" s="124"/>
      <c r="CB156" s="117" t="s">
        <v>932</v>
      </c>
      <c r="CC156" s="117" t="s">
        <v>190</v>
      </c>
      <c r="CD156" s="117" t="s">
        <v>932</v>
      </c>
      <c r="CE156" s="117" t="s">
        <v>932</v>
      </c>
      <c r="CF156" s="117">
        <v>31</v>
      </c>
      <c r="CG156" s="117">
        <v>0.5</v>
      </c>
      <c r="CH156" s="117" t="s">
        <v>932</v>
      </c>
      <c r="CI156" s="117" t="s">
        <v>932</v>
      </c>
    </row>
    <row r="157" spans="1:87" s="117" customFormat="1" ht="25.5">
      <c r="A157" s="114">
        <v>41741.423437500001</v>
      </c>
      <c r="B157" s="115">
        <v>41741.423437500001</v>
      </c>
      <c r="C157" s="114">
        <v>41741.459467592591</v>
      </c>
      <c r="D157" s="115">
        <v>41741.459467592591</v>
      </c>
      <c r="E157" s="116" t="s">
        <v>1708</v>
      </c>
      <c r="F157" s="122" t="s">
        <v>352</v>
      </c>
      <c r="G157" s="117" t="s">
        <v>1709</v>
      </c>
      <c r="H157" s="117" t="s">
        <v>1710</v>
      </c>
      <c r="I157" s="117">
        <v>104</v>
      </c>
      <c r="J157" s="118" t="s">
        <v>929</v>
      </c>
      <c r="K157" s="117" t="s">
        <v>1711</v>
      </c>
      <c r="L157" s="117" t="s">
        <v>931</v>
      </c>
      <c r="M157" s="117" t="s">
        <v>932</v>
      </c>
      <c r="N157" s="117" t="s">
        <v>932</v>
      </c>
      <c r="O157" s="117" t="s">
        <v>932</v>
      </c>
      <c r="P157" s="117" t="s">
        <v>932</v>
      </c>
      <c r="Q157" s="117" t="s">
        <v>932</v>
      </c>
      <c r="R157" s="117" t="s">
        <v>932</v>
      </c>
      <c r="S157" s="117" t="s">
        <v>932</v>
      </c>
      <c r="T157" s="119" t="s">
        <v>932</v>
      </c>
      <c r="U157" s="117" t="s">
        <v>932</v>
      </c>
      <c r="V157" s="117" t="s">
        <v>932</v>
      </c>
      <c r="W157" s="117" t="s">
        <v>932</v>
      </c>
      <c r="X157" s="117" t="s">
        <v>932</v>
      </c>
      <c r="Y157" s="117" t="s">
        <v>934</v>
      </c>
      <c r="Z157" s="117" t="s">
        <v>934</v>
      </c>
      <c r="AA157" s="117" t="s">
        <v>932</v>
      </c>
      <c r="AB157" s="117" t="s">
        <v>934</v>
      </c>
      <c r="AC157" s="117" t="s">
        <v>932</v>
      </c>
      <c r="AD157" s="117" t="s">
        <v>934</v>
      </c>
      <c r="AE157" s="117" t="s">
        <v>934</v>
      </c>
      <c r="AF157" s="117" t="s">
        <v>934</v>
      </c>
      <c r="AG157" s="117" t="s">
        <v>932</v>
      </c>
      <c r="AH157" s="117" t="s">
        <v>934</v>
      </c>
      <c r="AI157" s="117" t="s">
        <v>934</v>
      </c>
      <c r="AJ157" s="117" t="s">
        <v>1712</v>
      </c>
      <c r="AK157" s="117" t="s">
        <v>936</v>
      </c>
      <c r="AL157" s="117" t="s">
        <v>943</v>
      </c>
      <c r="AM157" s="117" t="s">
        <v>1713</v>
      </c>
      <c r="AN157" s="117" t="s">
        <v>932</v>
      </c>
      <c r="AO157" s="124"/>
      <c r="AP157" s="117" t="s">
        <v>1714</v>
      </c>
      <c r="AQ157" s="117">
        <v>1680</v>
      </c>
      <c r="AR157" s="117" t="s">
        <v>1652</v>
      </c>
      <c r="AS157" s="117" t="s">
        <v>943</v>
      </c>
      <c r="AT157" s="117" t="s">
        <v>933</v>
      </c>
      <c r="AU157" s="117" t="s">
        <v>933</v>
      </c>
      <c r="AV157" s="117" t="s">
        <v>932</v>
      </c>
      <c r="AW157" s="117">
        <v>0.4</v>
      </c>
      <c r="AX157" s="117" t="s">
        <v>932</v>
      </c>
      <c r="AY157" s="117">
        <v>0.2</v>
      </c>
      <c r="AZ157" s="117">
        <v>0.4</v>
      </c>
      <c r="BA157" s="117" t="s">
        <v>932</v>
      </c>
      <c r="BB157" s="117" t="s">
        <v>932</v>
      </c>
      <c r="BC157" s="117" t="s">
        <v>932</v>
      </c>
      <c r="BD157" s="117" t="s">
        <v>932</v>
      </c>
      <c r="BE157" s="117" t="s">
        <v>932</v>
      </c>
      <c r="BF157" s="117">
        <v>2</v>
      </c>
      <c r="BG157" s="117" t="s">
        <v>933</v>
      </c>
      <c r="BH157" s="117">
        <v>30</v>
      </c>
      <c r="BI157" s="117" t="s">
        <v>1715</v>
      </c>
      <c r="BJ157" s="117" t="s">
        <v>932</v>
      </c>
      <c r="BK157" s="117" t="s">
        <v>932</v>
      </c>
      <c r="BL157" s="117">
        <v>1</v>
      </c>
      <c r="BM157" s="117" t="s">
        <v>932</v>
      </c>
      <c r="BN157" s="117" t="s">
        <v>932</v>
      </c>
      <c r="BO157" s="117" t="s">
        <v>932</v>
      </c>
      <c r="BP157" s="117">
        <v>2</v>
      </c>
      <c r="BQ157" s="124"/>
      <c r="BR157" s="124"/>
      <c r="BS157" s="117">
        <v>200</v>
      </c>
      <c r="BT157" s="117" t="s">
        <v>956</v>
      </c>
      <c r="BU157" s="117" t="s">
        <v>932</v>
      </c>
      <c r="BV157" s="117">
        <v>6.05</v>
      </c>
      <c r="BW157" s="117" t="s">
        <v>956</v>
      </c>
      <c r="BX157" s="117" t="s">
        <v>190</v>
      </c>
      <c r="BY157" s="117" t="s">
        <v>1443</v>
      </c>
      <c r="BZ157" s="124"/>
      <c r="CA157" s="124"/>
      <c r="CB157" s="117" t="s">
        <v>932</v>
      </c>
      <c r="CC157" s="124"/>
      <c r="CD157" s="117" t="s">
        <v>932</v>
      </c>
      <c r="CE157" s="117" t="s">
        <v>932</v>
      </c>
      <c r="CF157" s="117">
        <v>31</v>
      </c>
      <c r="CG157" s="117">
        <v>1</v>
      </c>
      <c r="CH157" s="117" t="s">
        <v>932</v>
      </c>
      <c r="CI157" s="117" t="s">
        <v>932</v>
      </c>
    </row>
    <row r="158" spans="1:87" s="117" customFormat="1" ht="42">
      <c r="A158" s="114">
        <v>41741.432337962964</v>
      </c>
      <c r="B158" s="124"/>
      <c r="C158" s="114">
        <v>41741.6405787037</v>
      </c>
      <c r="D158" s="115">
        <v>41741.6405787037</v>
      </c>
      <c r="E158" s="116" t="s">
        <v>1716</v>
      </c>
      <c r="F158" s="122" t="s">
        <v>1717</v>
      </c>
      <c r="G158" s="117" t="s">
        <v>1701</v>
      </c>
      <c r="H158" s="117" t="s">
        <v>1678</v>
      </c>
      <c r="I158" s="117">
        <v>404</v>
      </c>
      <c r="J158" s="118" t="s">
        <v>1718</v>
      </c>
      <c r="K158" s="117" t="s">
        <v>1719</v>
      </c>
      <c r="L158" s="117" t="s">
        <v>951</v>
      </c>
      <c r="M158" s="117" t="s">
        <v>932</v>
      </c>
      <c r="N158" s="117" t="s">
        <v>932</v>
      </c>
      <c r="O158" s="117" t="s">
        <v>932</v>
      </c>
      <c r="P158" s="117" t="s">
        <v>932</v>
      </c>
      <c r="Q158" s="117" t="s">
        <v>934</v>
      </c>
      <c r="R158" s="117" t="s">
        <v>932</v>
      </c>
      <c r="S158" s="117" t="s">
        <v>932</v>
      </c>
      <c r="T158" s="119" t="s">
        <v>932</v>
      </c>
      <c r="U158" s="117" t="s">
        <v>932</v>
      </c>
      <c r="V158" s="117" t="s">
        <v>932</v>
      </c>
      <c r="W158" s="117" t="s">
        <v>932</v>
      </c>
      <c r="X158" s="117" t="s">
        <v>934</v>
      </c>
      <c r="Y158" s="117" t="s">
        <v>934</v>
      </c>
      <c r="Z158" s="117" t="s">
        <v>934</v>
      </c>
      <c r="AA158" s="117" t="s">
        <v>934</v>
      </c>
      <c r="AB158" s="117" t="s">
        <v>934</v>
      </c>
      <c r="AC158" s="117" t="s">
        <v>932</v>
      </c>
      <c r="AD158" s="117" t="s">
        <v>934</v>
      </c>
      <c r="AE158" s="117" t="s">
        <v>934</v>
      </c>
      <c r="AF158" s="117" t="s">
        <v>934</v>
      </c>
      <c r="AG158" s="117" t="s">
        <v>932</v>
      </c>
      <c r="AH158" s="117" t="s">
        <v>933</v>
      </c>
      <c r="AI158" s="117" t="s">
        <v>933</v>
      </c>
      <c r="AJ158" s="117" t="s">
        <v>1720</v>
      </c>
      <c r="AK158" s="117" t="s">
        <v>1721</v>
      </c>
      <c r="AL158" s="117" t="s">
        <v>1722</v>
      </c>
      <c r="AM158" s="117" t="s">
        <v>1723</v>
      </c>
      <c r="AN158" s="117" t="s">
        <v>932</v>
      </c>
      <c r="AO158" s="124"/>
      <c r="AP158" s="117" t="s">
        <v>1724</v>
      </c>
      <c r="AQ158" s="117" t="s">
        <v>1330</v>
      </c>
      <c r="AR158" s="117" t="s">
        <v>992</v>
      </c>
      <c r="AS158" s="117" t="s">
        <v>992</v>
      </c>
      <c r="AT158" s="117" t="s">
        <v>933</v>
      </c>
      <c r="AU158" s="117" t="s">
        <v>933</v>
      </c>
      <c r="AV158" s="117" t="s">
        <v>932</v>
      </c>
      <c r="AW158" s="117">
        <v>2</v>
      </c>
      <c r="AX158" s="117" t="s">
        <v>932</v>
      </c>
      <c r="AY158" s="117">
        <v>2</v>
      </c>
      <c r="AZ158" s="117">
        <v>1.4</v>
      </c>
      <c r="BA158" s="117" t="s">
        <v>932</v>
      </c>
      <c r="BB158" s="117" t="s">
        <v>932</v>
      </c>
      <c r="BC158" s="117" t="s">
        <v>932</v>
      </c>
      <c r="BD158" s="117" t="s">
        <v>932</v>
      </c>
      <c r="BE158" s="117" t="s">
        <v>932</v>
      </c>
      <c r="BF158" s="117">
        <v>1</v>
      </c>
      <c r="BG158" s="117" t="s">
        <v>933</v>
      </c>
      <c r="BH158" s="117">
        <v>15</v>
      </c>
      <c r="BI158" s="117" t="s">
        <v>1707</v>
      </c>
      <c r="BJ158" s="117" t="s">
        <v>932</v>
      </c>
      <c r="BK158" s="117" t="s">
        <v>932</v>
      </c>
      <c r="BL158" s="117">
        <v>1</v>
      </c>
      <c r="BM158" s="117" t="s">
        <v>932</v>
      </c>
      <c r="BN158" s="117" t="s">
        <v>932</v>
      </c>
      <c r="BO158" s="117" t="s">
        <v>932</v>
      </c>
      <c r="BP158" s="124"/>
      <c r="BQ158" s="124"/>
      <c r="BR158" s="124"/>
      <c r="BS158" s="117">
        <v>200</v>
      </c>
      <c r="BT158" s="124"/>
      <c r="BU158" s="117" t="s">
        <v>932</v>
      </c>
      <c r="BV158" s="117">
        <v>404</v>
      </c>
      <c r="BW158" s="117" t="s">
        <v>1691</v>
      </c>
      <c r="BX158" s="117">
        <v>6.05</v>
      </c>
      <c r="BY158" s="117" t="s">
        <v>1443</v>
      </c>
      <c r="BZ158" s="124"/>
      <c r="CA158" s="124"/>
      <c r="CB158" s="117" t="s">
        <v>932</v>
      </c>
      <c r="CC158" s="117" t="s">
        <v>190</v>
      </c>
      <c r="CD158" s="117" t="s">
        <v>932</v>
      </c>
      <c r="CE158" s="117" t="s">
        <v>932</v>
      </c>
      <c r="CF158" s="117">
        <v>28</v>
      </c>
      <c r="CG158" s="117">
        <v>0.2</v>
      </c>
      <c r="CH158" s="117" t="s">
        <v>932</v>
      </c>
      <c r="CI158" s="117" t="s">
        <v>932</v>
      </c>
    </row>
    <row r="159" spans="1:87" s="117" customFormat="1" ht="25.5">
      <c r="A159" s="114">
        <v>41741.475844907407</v>
      </c>
      <c r="B159" s="115">
        <v>41741.475844907407</v>
      </c>
      <c r="C159" s="124"/>
      <c r="D159" s="124"/>
      <c r="E159" s="116" t="s">
        <v>1725</v>
      </c>
      <c r="F159" s="122" t="s">
        <v>1726</v>
      </c>
      <c r="G159" s="117" t="s">
        <v>1727</v>
      </c>
      <c r="H159" s="117" t="s">
        <v>1695</v>
      </c>
      <c r="I159" s="117">
        <v>105</v>
      </c>
      <c r="J159" s="118" t="s">
        <v>1728</v>
      </c>
      <c r="K159" s="117" t="s">
        <v>1729</v>
      </c>
      <c r="L159" s="117" t="s">
        <v>931</v>
      </c>
      <c r="M159" s="117" t="s">
        <v>932</v>
      </c>
      <c r="N159" s="117" t="s">
        <v>932</v>
      </c>
      <c r="O159" s="117" t="s">
        <v>932</v>
      </c>
      <c r="P159" s="117" t="s">
        <v>932</v>
      </c>
      <c r="Q159" s="117" t="s">
        <v>932</v>
      </c>
      <c r="R159" s="117" t="s">
        <v>932</v>
      </c>
      <c r="S159" s="117" t="s">
        <v>932</v>
      </c>
      <c r="T159" s="119" t="s">
        <v>932</v>
      </c>
      <c r="U159" s="117" t="s">
        <v>932</v>
      </c>
      <c r="V159" s="117" t="s">
        <v>932</v>
      </c>
      <c r="W159" s="117" t="s">
        <v>932</v>
      </c>
      <c r="X159" s="117" t="s">
        <v>932</v>
      </c>
      <c r="Y159" s="117" t="s">
        <v>934</v>
      </c>
      <c r="Z159" s="117" t="s">
        <v>932</v>
      </c>
      <c r="AA159" s="117" t="s">
        <v>932</v>
      </c>
      <c r="AB159" s="117" t="s">
        <v>932</v>
      </c>
      <c r="AC159" s="117" t="s">
        <v>932</v>
      </c>
      <c r="AD159" s="117" t="s">
        <v>934</v>
      </c>
      <c r="AE159" s="117" t="s">
        <v>934</v>
      </c>
      <c r="AF159" s="117" t="s">
        <v>932</v>
      </c>
      <c r="AG159" s="117" t="s">
        <v>933</v>
      </c>
      <c r="AH159" s="117" t="s">
        <v>933</v>
      </c>
      <c r="AI159" s="117" t="s">
        <v>933</v>
      </c>
      <c r="AJ159" s="117" t="s">
        <v>1722</v>
      </c>
      <c r="AK159" s="117" t="s">
        <v>1721</v>
      </c>
      <c r="AL159" s="117" t="s">
        <v>1722</v>
      </c>
      <c r="AM159" s="117" t="s">
        <v>1730</v>
      </c>
      <c r="AN159" s="117" t="s">
        <v>932</v>
      </c>
      <c r="AO159" s="124"/>
      <c r="AP159" s="124"/>
      <c r="AQ159" s="124"/>
      <c r="AR159" s="124"/>
      <c r="AS159" s="124"/>
      <c r="AT159" s="124"/>
      <c r="AU159" s="124"/>
      <c r="AV159" s="124"/>
      <c r="AW159" s="124"/>
      <c r="AX159" s="124"/>
      <c r="AY159" s="124"/>
      <c r="AZ159" s="124"/>
      <c r="BA159" s="124"/>
      <c r="BB159" s="124"/>
      <c r="BC159" s="124"/>
      <c r="BD159" s="124"/>
      <c r="BE159" s="124"/>
      <c r="BF159" s="124"/>
      <c r="BG159" s="124"/>
      <c r="BH159" s="124"/>
      <c r="BI159" s="124"/>
      <c r="BJ159" s="124"/>
      <c r="BK159" s="124"/>
      <c r="BL159" s="124"/>
      <c r="BM159" s="124"/>
      <c r="BN159" s="124"/>
      <c r="BO159" s="124"/>
      <c r="BP159" s="124"/>
      <c r="BQ159" s="124"/>
      <c r="BR159" s="124"/>
      <c r="BS159" s="124"/>
      <c r="BT159" s="124"/>
      <c r="BU159" s="124"/>
      <c r="BV159" s="124"/>
      <c r="BW159" s="124"/>
      <c r="BX159" s="124"/>
      <c r="BY159" s="124"/>
      <c r="BZ159" s="124"/>
      <c r="CA159" s="124"/>
      <c r="CB159" s="124"/>
      <c r="CC159" s="124"/>
      <c r="CD159" s="124"/>
      <c r="CE159" s="124"/>
      <c r="CF159" s="124"/>
      <c r="CG159" s="124"/>
      <c r="CH159" s="124"/>
      <c r="CI159" s="124"/>
    </row>
    <row r="160" spans="1:87" s="117" customFormat="1" ht="25.5">
      <c r="A160" s="114">
        <v>41741.482893518521</v>
      </c>
      <c r="B160" s="115">
        <v>41741.482893518521</v>
      </c>
      <c r="C160" s="114">
        <v>41741.487650462965</v>
      </c>
      <c r="D160" s="115">
        <v>41741.487650462965</v>
      </c>
      <c r="E160" s="116" t="s">
        <v>1731</v>
      </c>
      <c r="F160" s="122" t="s">
        <v>1732</v>
      </c>
      <c r="G160" s="117" t="s">
        <v>1727</v>
      </c>
      <c r="H160" s="117" t="s">
        <v>1695</v>
      </c>
      <c r="I160" s="117">
        <v>103</v>
      </c>
      <c r="J160" s="118" t="s">
        <v>1718</v>
      </c>
      <c r="K160" s="117" t="s">
        <v>1733</v>
      </c>
      <c r="L160" s="117" t="s">
        <v>931</v>
      </c>
      <c r="M160" s="117" t="s">
        <v>932</v>
      </c>
      <c r="N160" s="117" t="s">
        <v>932</v>
      </c>
      <c r="O160" s="117" t="s">
        <v>932</v>
      </c>
      <c r="P160" s="117" t="s">
        <v>932</v>
      </c>
      <c r="Q160" s="117" t="s">
        <v>934</v>
      </c>
      <c r="R160" s="117" t="s">
        <v>932</v>
      </c>
      <c r="S160" s="117" t="s">
        <v>932</v>
      </c>
      <c r="T160" s="119" t="s">
        <v>932</v>
      </c>
      <c r="U160" s="117" t="s">
        <v>932</v>
      </c>
      <c r="V160" s="117" t="s">
        <v>932</v>
      </c>
      <c r="W160" s="117" t="s">
        <v>932</v>
      </c>
      <c r="X160" s="117" t="s">
        <v>932</v>
      </c>
      <c r="Y160" s="117" t="s">
        <v>934</v>
      </c>
      <c r="Z160" s="117" t="s">
        <v>932</v>
      </c>
      <c r="AA160" s="117" t="s">
        <v>932</v>
      </c>
      <c r="AB160" s="117" t="s">
        <v>932</v>
      </c>
      <c r="AC160" s="117" t="s">
        <v>932</v>
      </c>
      <c r="AD160" s="117" t="s">
        <v>934</v>
      </c>
      <c r="AE160" s="117" t="s">
        <v>934</v>
      </c>
      <c r="AF160" s="117" t="s">
        <v>932</v>
      </c>
      <c r="AG160" s="117" t="s">
        <v>933</v>
      </c>
      <c r="AH160" s="117" t="s">
        <v>933</v>
      </c>
      <c r="AI160" s="117" t="s">
        <v>933</v>
      </c>
      <c r="AJ160" s="117" t="s">
        <v>1734</v>
      </c>
      <c r="AK160" s="117" t="s">
        <v>1721</v>
      </c>
      <c r="AL160" s="117" t="s">
        <v>1722</v>
      </c>
      <c r="AM160" s="117" t="s">
        <v>1723</v>
      </c>
      <c r="AN160" s="117" t="s">
        <v>932</v>
      </c>
      <c r="AO160" s="124"/>
      <c r="AP160" s="117" t="s">
        <v>1735</v>
      </c>
      <c r="AQ160" s="117">
        <v>1680</v>
      </c>
      <c r="AR160" s="117" t="s">
        <v>1723</v>
      </c>
      <c r="AS160" s="117" t="s">
        <v>1722</v>
      </c>
      <c r="AT160" s="117" t="s">
        <v>933</v>
      </c>
      <c r="AU160" s="117" t="s">
        <v>933</v>
      </c>
      <c r="AV160" s="117" t="s">
        <v>932</v>
      </c>
      <c r="AW160" s="117">
        <v>8.6</v>
      </c>
      <c r="AX160" s="117" t="s">
        <v>932</v>
      </c>
      <c r="AY160" s="117">
        <v>6.2</v>
      </c>
      <c r="AZ160" s="117">
        <v>6.2</v>
      </c>
      <c r="BA160" s="117" t="s">
        <v>932</v>
      </c>
      <c r="BB160" s="117" t="s">
        <v>932</v>
      </c>
      <c r="BC160" s="117" t="s">
        <v>932</v>
      </c>
      <c r="BD160" s="117" t="s">
        <v>932</v>
      </c>
      <c r="BE160" s="117" t="s">
        <v>932</v>
      </c>
      <c r="BF160" s="117">
        <v>0</v>
      </c>
      <c r="BG160" s="124"/>
      <c r="BH160" s="117">
        <v>15</v>
      </c>
      <c r="BI160" s="117" t="s">
        <v>1736</v>
      </c>
      <c r="BJ160" s="117" t="s">
        <v>932</v>
      </c>
      <c r="BK160" s="117" t="s">
        <v>932</v>
      </c>
      <c r="BL160" s="117">
        <v>1</v>
      </c>
      <c r="BM160" s="117" t="s">
        <v>932</v>
      </c>
      <c r="BN160" s="117" t="s">
        <v>932</v>
      </c>
      <c r="BO160" s="117" t="s">
        <v>932</v>
      </c>
      <c r="BP160" s="117">
        <v>2</v>
      </c>
      <c r="BQ160" s="124"/>
      <c r="BR160" s="124"/>
      <c r="BS160" s="117">
        <v>200</v>
      </c>
      <c r="BT160" s="117" t="s">
        <v>1737</v>
      </c>
      <c r="BU160" s="117" t="s">
        <v>932</v>
      </c>
      <c r="BV160" s="117">
        <v>103</v>
      </c>
      <c r="BW160" s="117" t="s">
        <v>1738</v>
      </c>
      <c r="BX160" s="117">
        <v>6.05</v>
      </c>
      <c r="BY160" s="117" t="s">
        <v>1442</v>
      </c>
      <c r="BZ160" s="124"/>
      <c r="CA160" s="124"/>
      <c r="CB160" s="117" t="s">
        <v>932</v>
      </c>
      <c r="CC160" s="117" t="s">
        <v>190</v>
      </c>
      <c r="CD160" s="117" t="s">
        <v>932</v>
      </c>
      <c r="CE160" s="117" t="s">
        <v>932</v>
      </c>
      <c r="CF160" s="117">
        <v>28</v>
      </c>
      <c r="CG160" s="117">
        <v>0.4</v>
      </c>
      <c r="CH160" s="117" t="s">
        <v>932</v>
      </c>
      <c r="CI160" s="117" t="s">
        <v>932</v>
      </c>
    </row>
    <row r="161" spans="1:87" s="117" customFormat="1" ht="25.5">
      <c r="A161" s="114">
        <v>41741.557962962965</v>
      </c>
      <c r="B161" s="115">
        <v>41741.557962962965</v>
      </c>
      <c r="C161" s="114">
        <v>41741.600914351853</v>
      </c>
      <c r="D161" s="115">
        <v>41741.600914351853</v>
      </c>
      <c r="E161" s="116" t="s">
        <v>1739</v>
      </c>
      <c r="F161" s="122" t="s">
        <v>1740</v>
      </c>
      <c r="G161" s="117" t="s">
        <v>1741</v>
      </c>
      <c r="H161" s="117" t="s">
        <v>1695</v>
      </c>
      <c r="I161" s="117">
        <v>109</v>
      </c>
      <c r="J161" s="118" t="s">
        <v>1728</v>
      </c>
      <c r="K161" s="117" t="s">
        <v>1742</v>
      </c>
      <c r="L161" s="117" t="s">
        <v>931</v>
      </c>
      <c r="M161" s="117" t="s">
        <v>932</v>
      </c>
      <c r="N161" s="117" t="s">
        <v>932</v>
      </c>
      <c r="O161" s="117" t="s">
        <v>932</v>
      </c>
      <c r="P161" s="117" t="s">
        <v>932</v>
      </c>
      <c r="Q161" s="117" t="s">
        <v>932</v>
      </c>
      <c r="R161" s="117" t="s">
        <v>932</v>
      </c>
      <c r="S161" s="117" t="s">
        <v>932</v>
      </c>
      <c r="T161" s="119" t="s">
        <v>932</v>
      </c>
      <c r="U161" s="117" t="s">
        <v>932</v>
      </c>
      <c r="V161" s="117" t="s">
        <v>932</v>
      </c>
      <c r="W161" s="117" t="s">
        <v>932</v>
      </c>
      <c r="X161" s="117" t="s">
        <v>932</v>
      </c>
      <c r="Y161" s="117" t="s">
        <v>934</v>
      </c>
      <c r="Z161" s="117" t="s">
        <v>932</v>
      </c>
      <c r="AA161" s="117" t="s">
        <v>932</v>
      </c>
      <c r="AB161" s="117" t="s">
        <v>932</v>
      </c>
      <c r="AC161" s="117" t="s">
        <v>932</v>
      </c>
      <c r="AD161" s="117" t="s">
        <v>934</v>
      </c>
      <c r="AE161" s="117" t="s">
        <v>934</v>
      </c>
      <c r="AF161" s="117" t="s">
        <v>932</v>
      </c>
      <c r="AG161" s="117" t="s">
        <v>933</v>
      </c>
      <c r="AH161" s="117" t="s">
        <v>933</v>
      </c>
      <c r="AI161" s="117" t="s">
        <v>934</v>
      </c>
      <c r="AJ161" s="117" t="s">
        <v>1743</v>
      </c>
      <c r="AK161" s="117" t="s">
        <v>1721</v>
      </c>
      <c r="AL161" s="117" t="s">
        <v>1722</v>
      </c>
      <c r="AM161" s="117" t="s">
        <v>1744</v>
      </c>
      <c r="AN161" s="117" t="s">
        <v>932</v>
      </c>
      <c r="AO161" s="117" t="s">
        <v>1745</v>
      </c>
      <c r="AP161" s="117" t="s">
        <v>1735</v>
      </c>
      <c r="AQ161" s="117">
        <v>1680</v>
      </c>
      <c r="AR161" s="117" t="s">
        <v>1744</v>
      </c>
      <c r="AS161" s="117" t="s">
        <v>1722</v>
      </c>
      <c r="AT161" s="117" t="s">
        <v>933</v>
      </c>
      <c r="AU161" s="117" t="s">
        <v>933</v>
      </c>
      <c r="AV161" s="117" t="s">
        <v>933</v>
      </c>
      <c r="AW161" s="124"/>
      <c r="AX161" s="117" t="s">
        <v>933</v>
      </c>
      <c r="AY161" s="124"/>
      <c r="AZ161" s="117">
        <v>1.4</v>
      </c>
      <c r="BA161" s="117" t="s">
        <v>932</v>
      </c>
      <c r="BB161" s="117" t="s">
        <v>932</v>
      </c>
      <c r="BC161" s="117" t="s">
        <v>932</v>
      </c>
      <c r="BD161" s="117" t="s">
        <v>932</v>
      </c>
      <c r="BE161" s="117" t="s">
        <v>932</v>
      </c>
      <c r="BF161" s="117">
        <v>1</v>
      </c>
      <c r="BG161" s="124"/>
      <c r="BH161" s="117">
        <v>0.5</v>
      </c>
      <c r="BI161" s="117" t="s">
        <v>1746</v>
      </c>
      <c r="BJ161" s="117" t="s">
        <v>932</v>
      </c>
      <c r="BK161" s="117" t="s">
        <v>932</v>
      </c>
      <c r="BL161" s="117">
        <v>1</v>
      </c>
      <c r="BM161" s="117" t="s">
        <v>932</v>
      </c>
      <c r="BN161" s="117" t="s">
        <v>932</v>
      </c>
      <c r="BO161" s="117" t="s">
        <v>932</v>
      </c>
      <c r="BP161" s="117">
        <v>1</v>
      </c>
      <c r="BQ161" s="117" t="s">
        <v>933</v>
      </c>
      <c r="BR161" s="124"/>
      <c r="BS161" s="117">
        <v>300</v>
      </c>
      <c r="BT161" s="117" t="s">
        <v>1737</v>
      </c>
      <c r="BU161" s="117" t="s">
        <v>932</v>
      </c>
      <c r="BV161" s="117">
        <v>109</v>
      </c>
      <c r="BW161" s="117" t="s">
        <v>1747</v>
      </c>
      <c r="BX161" s="117">
        <v>6.05</v>
      </c>
      <c r="BY161" s="117" t="s">
        <v>1442</v>
      </c>
      <c r="BZ161" s="124"/>
      <c r="CA161" s="124"/>
      <c r="CB161" s="117" t="s">
        <v>932</v>
      </c>
      <c r="CC161" s="117" t="s">
        <v>190</v>
      </c>
      <c r="CD161" s="117" t="s">
        <v>932</v>
      </c>
      <c r="CE161" s="117" t="s">
        <v>932</v>
      </c>
      <c r="CF161" s="117">
        <v>30</v>
      </c>
      <c r="CG161" s="117">
        <v>0</v>
      </c>
      <c r="CH161" s="117" t="s">
        <v>932</v>
      </c>
      <c r="CI161" s="117" t="s">
        <v>932</v>
      </c>
    </row>
    <row r="162" spans="1:87" s="117" customFormat="1" ht="25.5">
      <c r="A162" s="114">
        <v>41741.560763888891</v>
      </c>
      <c r="B162" s="115">
        <v>41741.560763888891</v>
      </c>
      <c r="C162" s="114">
        <v>41741.591481481482</v>
      </c>
      <c r="D162" s="115">
        <v>41741.591481481482</v>
      </c>
      <c r="E162" s="116" t="s">
        <v>1748</v>
      </c>
      <c r="F162" s="122" t="s">
        <v>1726</v>
      </c>
      <c r="G162" s="117" t="s">
        <v>1727</v>
      </c>
      <c r="H162" s="117" t="s">
        <v>1695</v>
      </c>
      <c r="I162" s="117">
        <v>107</v>
      </c>
      <c r="J162" s="118" t="s">
        <v>1728</v>
      </c>
      <c r="K162" s="117" t="s">
        <v>1729</v>
      </c>
      <c r="L162" s="117" t="s">
        <v>931</v>
      </c>
      <c r="M162" s="117" t="s">
        <v>932</v>
      </c>
      <c r="N162" s="117" t="s">
        <v>932</v>
      </c>
      <c r="O162" s="117" t="s">
        <v>932</v>
      </c>
      <c r="P162" s="117" t="s">
        <v>932</v>
      </c>
      <c r="Q162" s="117" t="s">
        <v>934</v>
      </c>
      <c r="R162" s="117" t="s">
        <v>932</v>
      </c>
      <c r="S162" s="117" t="s">
        <v>932</v>
      </c>
      <c r="T162" s="119" t="s">
        <v>932</v>
      </c>
      <c r="U162" s="117" t="s">
        <v>932</v>
      </c>
      <c r="V162" s="117" t="s">
        <v>932</v>
      </c>
      <c r="W162" s="117" t="s">
        <v>932</v>
      </c>
      <c r="X162" s="117" t="s">
        <v>932</v>
      </c>
      <c r="Y162" s="117" t="s">
        <v>934</v>
      </c>
      <c r="Z162" s="117" t="s">
        <v>932</v>
      </c>
      <c r="AA162" s="117" t="s">
        <v>932</v>
      </c>
      <c r="AB162" s="117" t="s">
        <v>932</v>
      </c>
      <c r="AC162" s="117" t="s">
        <v>932</v>
      </c>
      <c r="AD162" s="117" t="s">
        <v>934</v>
      </c>
      <c r="AE162" s="117" t="s">
        <v>934</v>
      </c>
      <c r="AF162" s="117" t="s">
        <v>932</v>
      </c>
      <c r="AG162" s="117" t="s">
        <v>933</v>
      </c>
      <c r="AH162" s="117" t="s">
        <v>933</v>
      </c>
      <c r="AI162" s="117" t="s">
        <v>933</v>
      </c>
      <c r="AJ162" s="117" t="s">
        <v>1722</v>
      </c>
      <c r="AK162" s="117" t="s">
        <v>1721</v>
      </c>
      <c r="AL162" s="117" t="s">
        <v>1722</v>
      </c>
      <c r="AM162" s="117" t="s">
        <v>1744</v>
      </c>
      <c r="AN162" s="117" t="s">
        <v>932</v>
      </c>
      <c r="AO162" s="124"/>
      <c r="AP162" s="117" t="s">
        <v>1749</v>
      </c>
      <c r="AQ162" s="117" t="s">
        <v>1750</v>
      </c>
      <c r="AR162" s="124"/>
      <c r="AS162" s="124"/>
      <c r="AT162" s="117" t="s">
        <v>932</v>
      </c>
      <c r="AU162" s="117" t="s">
        <v>933</v>
      </c>
      <c r="AV162" s="117" t="s">
        <v>932</v>
      </c>
      <c r="AW162" s="117">
        <v>0.4</v>
      </c>
      <c r="AX162" s="117" t="s">
        <v>933</v>
      </c>
      <c r="AY162" s="124"/>
      <c r="AZ162" s="117">
        <v>0.4</v>
      </c>
      <c r="BA162" s="117" t="s">
        <v>932</v>
      </c>
      <c r="BB162" s="117" t="s">
        <v>932</v>
      </c>
      <c r="BC162" s="117" t="s">
        <v>932</v>
      </c>
      <c r="BD162" s="117" t="s">
        <v>932</v>
      </c>
      <c r="BE162" s="117" t="s">
        <v>932</v>
      </c>
      <c r="BF162" s="117">
        <v>1</v>
      </c>
      <c r="BG162" s="117" t="s">
        <v>933</v>
      </c>
      <c r="BH162" s="117">
        <v>15</v>
      </c>
      <c r="BI162" s="117" t="s">
        <v>1751</v>
      </c>
      <c r="BJ162" s="117" t="s">
        <v>932</v>
      </c>
      <c r="BK162" s="117" t="s">
        <v>932</v>
      </c>
      <c r="BL162" s="117">
        <v>1</v>
      </c>
      <c r="BM162" s="117" t="s">
        <v>932</v>
      </c>
      <c r="BN162" s="117" t="s">
        <v>932</v>
      </c>
      <c r="BO162" s="117" t="s">
        <v>932</v>
      </c>
      <c r="BP162" s="117">
        <v>1</v>
      </c>
      <c r="BQ162" s="117" t="s">
        <v>933</v>
      </c>
      <c r="BR162" s="124"/>
      <c r="BS162" s="117">
        <v>200</v>
      </c>
      <c r="BT162" s="117" t="s">
        <v>1737</v>
      </c>
      <c r="BU162" s="117" t="s">
        <v>932</v>
      </c>
      <c r="BV162" s="117">
        <v>107</v>
      </c>
      <c r="BW162" s="117" t="s">
        <v>1752</v>
      </c>
      <c r="BX162" s="117">
        <v>6.05</v>
      </c>
      <c r="BY162" s="117">
        <v>821</v>
      </c>
      <c r="BZ162" s="124"/>
      <c r="CA162" s="124"/>
      <c r="CB162" s="117" t="s">
        <v>932</v>
      </c>
      <c r="CC162" s="117" t="s">
        <v>190</v>
      </c>
      <c r="CD162" s="117" t="s">
        <v>932</v>
      </c>
      <c r="CE162" s="117" t="s">
        <v>932</v>
      </c>
      <c r="CF162" s="117">
        <v>30</v>
      </c>
      <c r="CG162" s="117">
        <v>0.1</v>
      </c>
      <c r="CH162" s="117" t="s">
        <v>932</v>
      </c>
      <c r="CI162" s="117" t="s">
        <v>932</v>
      </c>
    </row>
    <row r="163" spans="1:87" s="117" customFormat="1" ht="60.75">
      <c r="A163" s="114">
        <v>41741.582314814812</v>
      </c>
      <c r="B163" s="115">
        <v>41741.582314814812</v>
      </c>
      <c r="C163" s="114">
        <v>41741.639837962961</v>
      </c>
      <c r="D163" s="115">
        <v>41741.639837962961</v>
      </c>
      <c r="E163" s="116" t="s">
        <v>1753</v>
      </c>
      <c r="F163" s="122" t="s">
        <v>1754</v>
      </c>
      <c r="G163" s="117" t="s">
        <v>1755</v>
      </c>
      <c r="H163" s="117" t="s">
        <v>1678</v>
      </c>
      <c r="I163" s="117">
        <v>403</v>
      </c>
      <c r="J163" s="118" t="s">
        <v>998</v>
      </c>
      <c r="K163" s="117" t="s">
        <v>1679</v>
      </c>
      <c r="L163" s="117" t="s">
        <v>966</v>
      </c>
      <c r="M163" s="117" t="s">
        <v>932</v>
      </c>
      <c r="N163" s="117" t="s">
        <v>932</v>
      </c>
      <c r="O163" s="117" t="s">
        <v>932</v>
      </c>
      <c r="P163" s="117" t="s">
        <v>932</v>
      </c>
      <c r="Q163" s="117" t="s">
        <v>934</v>
      </c>
      <c r="R163" s="117" t="s">
        <v>932</v>
      </c>
      <c r="S163" s="117" t="s">
        <v>932</v>
      </c>
      <c r="T163" s="119" t="s">
        <v>932</v>
      </c>
      <c r="U163" s="117" t="s">
        <v>932</v>
      </c>
      <c r="V163" s="117" t="s">
        <v>932</v>
      </c>
      <c r="W163" s="117" t="s">
        <v>932</v>
      </c>
      <c r="X163" s="117" t="s">
        <v>934</v>
      </c>
      <c r="Y163" s="117" t="s">
        <v>934</v>
      </c>
      <c r="Z163" s="117" t="s">
        <v>934</v>
      </c>
      <c r="AA163" s="117" t="s">
        <v>934</v>
      </c>
      <c r="AB163" s="117" t="s">
        <v>934</v>
      </c>
      <c r="AC163" s="117" t="s">
        <v>932</v>
      </c>
      <c r="AD163" s="117" t="s">
        <v>934</v>
      </c>
      <c r="AE163" s="117" t="s">
        <v>934</v>
      </c>
      <c r="AF163" s="117" t="s">
        <v>934</v>
      </c>
      <c r="AG163" s="117" t="s">
        <v>933</v>
      </c>
      <c r="AH163" s="117" t="s">
        <v>933</v>
      </c>
      <c r="AI163" s="117" t="s">
        <v>933</v>
      </c>
      <c r="AJ163" s="117" t="s">
        <v>943</v>
      </c>
      <c r="AK163" s="117" t="s">
        <v>936</v>
      </c>
      <c r="AL163" s="117" t="s">
        <v>943</v>
      </c>
      <c r="AM163" s="117" t="s">
        <v>992</v>
      </c>
      <c r="AN163" s="117" t="s">
        <v>932</v>
      </c>
      <c r="AO163" s="124"/>
      <c r="AP163" s="117" t="s">
        <v>955</v>
      </c>
      <c r="AQ163" s="124"/>
      <c r="AR163" s="117" t="s">
        <v>1756</v>
      </c>
      <c r="AS163" s="117" t="s">
        <v>943</v>
      </c>
      <c r="AT163" s="117" t="s">
        <v>933</v>
      </c>
      <c r="AU163" s="117" t="s">
        <v>933</v>
      </c>
      <c r="AV163" s="117" t="s">
        <v>933</v>
      </c>
      <c r="AW163" s="124"/>
      <c r="AX163" s="117" t="s">
        <v>933</v>
      </c>
      <c r="AY163" s="124"/>
      <c r="AZ163" s="117">
        <v>1.2</v>
      </c>
      <c r="BA163" s="117" t="s">
        <v>933</v>
      </c>
      <c r="BB163" s="117" t="s">
        <v>932</v>
      </c>
      <c r="BC163" s="117" t="s">
        <v>932</v>
      </c>
      <c r="BD163" s="117" t="s">
        <v>932</v>
      </c>
      <c r="BE163" s="117" t="s">
        <v>932</v>
      </c>
      <c r="BF163" s="117">
        <v>1</v>
      </c>
      <c r="BG163" s="117" t="s">
        <v>932</v>
      </c>
      <c r="BH163" s="117">
        <v>15</v>
      </c>
      <c r="BI163" s="117" t="s">
        <v>1757</v>
      </c>
      <c r="BJ163" s="117" t="s">
        <v>932</v>
      </c>
      <c r="BK163" s="117" t="s">
        <v>932</v>
      </c>
      <c r="BL163" s="117">
        <v>1</v>
      </c>
      <c r="BM163" s="117" t="s">
        <v>932</v>
      </c>
      <c r="BN163" s="117" t="s">
        <v>932</v>
      </c>
      <c r="BO163" s="117" t="s">
        <v>932</v>
      </c>
      <c r="BP163" s="117">
        <v>0</v>
      </c>
      <c r="BQ163" s="124"/>
      <c r="BR163" s="124"/>
      <c r="BS163" s="117">
        <v>250</v>
      </c>
      <c r="BT163" s="117" t="s">
        <v>1758</v>
      </c>
      <c r="BU163" s="117" t="s">
        <v>932</v>
      </c>
      <c r="BV163" s="117">
        <v>403</v>
      </c>
      <c r="BW163" s="117" t="s">
        <v>1759</v>
      </c>
      <c r="BX163" s="117">
        <v>6.05</v>
      </c>
      <c r="BY163" s="117" t="s">
        <v>190</v>
      </c>
      <c r="BZ163" s="124"/>
      <c r="CA163" s="124"/>
      <c r="CB163" s="117" t="s">
        <v>932</v>
      </c>
      <c r="CC163" s="117" t="s">
        <v>1443</v>
      </c>
      <c r="CD163" s="117" t="s">
        <v>932</v>
      </c>
      <c r="CE163" s="117" t="s">
        <v>932</v>
      </c>
      <c r="CF163" s="117">
        <v>28</v>
      </c>
      <c r="CG163" s="117">
        <v>0.25</v>
      </c>
      <c r="CH163" s="117" t="s">
        <v>932</v>
      </c>
      <c r="CI163" s="117" t="s">
        <v>932</v>
      </c>
    </row>
    <row r="164" spans="1:87" s="117" customFormat="1" ht="25.5">
      <c r="A164" s="114">
        <v>41741.606851851851</v>
      </c>
      <c r="B164" s="124"/>
      <c r="C164" s="114">
        <v>41741.671215277776</v>
      </c>
      <c r="D164" s="115">
        <v>41741.671215277776</v>
      </c>
      <c r="E164" s="116" t="s">
        <v>1760</v>
      </c>
      <c r="F164" s="122" t="s">
        <v>1761</v>
      </c>
      <c r="G164" s="117" t="s">
        <v>1762</v>
      </c>
      <c r="H164" s="124"/>
      <c r="I164" s="117">
        <v>147</v>
      </c>
      <c r="J164" s="118" t="s">
        <v>998</v>
      </c>
      <c r="K164" s="117" t="s">
        <v>1649</v>
      </c>
      <c r="L164" s="117" t="s">
        <v>931</v>
      </c>
      <c r="M164" s="117" t="s">
        <v>932</v>
      </c>
      <c r="N164" s="117" t="s">
        <v>932</v>
      </c>
      <c r="O164" s="117" t="s">
        <v>932</v>
      </c>
      <c r="P164" s="117" t="s">
        <v>932</v>
      </c>
      <c r="Q164" s="117" t="s">
        <v>932</v>
      </c>
      <c r="R164" s="117" t="s">
        <v>932</v>
      </c>
      <c r="S164" s="117" t="s">
        <v>932</v>
      </c>
      <c r="T164" s="119" t="s">
        <v>932</v>
      </c>
      <c r="U164" s="117" t="s">
        <v>932</v>
      </c>
      <c r="V164" s="117" t="s">
        <v>934</v>
      </c>
      <c r="W164" s="117" t="s">
        <v>934</v>
      </c>
      <c r="X164" s="117" t="s">
        <v>934</v>
      </c>
      <c r="Y164" s="117" t="s">
        <v>934</v>
      </c>
      <c r="Z164" s="117" t="s">
        <v>934</v>
      </c>
      <c r="AA164" s="117" t="s">
        <v>934</v>
      </c>
      <c r="AB164" s="117" t="s">
        <v>934</v>
      </c>
      <c r="AC164" s="117" t="s">
        <v>934</v>
      </c>
      <c r="AD164" s="117" t="s">
        <v>934</v>
      </c>
      <c r="AE164" s="117" t="s">
        <v>934</v>
      </c>
      <c r="AF164" s="117" t="s">
        <v>934</v>
      </c>
      <c r="AG164" s="117" t="s">
        <v>932</v>
      </c>
      <c r="AH164" s="117" t="s">
        <v>933</v>
      </c>
      <c r="AI164" s="117" t="s">
        <v>933</v>
      </c>
      <c r="AJ164" s="117" t="s">
        <v>943</v>
      </c>
      <c r="AK164" s="117" t="s">
        <v>936</v>
      </c>
      <c r="AL164" s="117" t="s">
        <v>943</v>
      </c>
      <c r="AM164" s="117" t="s">
        <v>1652</v>
      </c>
      <c r="AN164" s="117" t="s">
        <v>932</v>
      </c>
      <c r="AO164" s="124"/>
      <c r="AP164" s="117" t="s">
        <v>981</v>
      </c>
      <c r="AQ164" s="117" t="s">
        <v>982</v>
      </c>
      <c r="AR164" s="117" t="s">
        <v>942</v>
      </c>
      <c r="AS164" s="117" t="s">
        <v>943</v>
      </c>
      <c r="AT164" s="117" t="s">
        <v>933</v>
      </c>
      <c r="AU164" s="117" t="s">
        <v>933</v>
      </c>
      <c r="AV164" s="117" t="s">
        <v>933</v>
      </c>
      <c r="AW164" s="117">
        <v>8.6999999999999993</v>
      </c>
      <c r="AX164" s="117" t="s">
        <v>933</v>
      </c>
      <c r="AY164" s="117">
        <v>8.6999999999999993</v>
      </c>
      <c r="AZ164" s="117">
        <v>9.9</v>
      </c>
      <c r="BA164" s="117" t="s">
        <v>932</v>
      </c>
      <c r="BB164" s="117" t="s">
        <v>932</v>
      </c>
      <c r="BC164" s="117" t="s">
        <v>932</v>
      </c>
      <c r="BD164" s="117" t="s">
        <v>932</v>
      </c>
      <c r="BE164" s="117" t="s">
        <v>932</v>
      </c>
      <c r="BF164" s="117">
        <v>1</v>
      </c>
      <c r="BG164" s="117" t="s">
        <v>932</v>
      </c>
      <c r="BH164" s="117">
        <v>15</v>
      </c>
      <c r="BI164" s="117" t="s">
        <v>1763</v>
      </c>
      <c r="BJ164" s="117" t="s">
        <v>932</v>
      </c>
      <c r="BK164" s="117" t="s">
        <v>932</v>
      </c>
      <c r="BL164" s="117">
        <v>1</v>
      </c>
      <c r="BM164" s="124"/>
      <c r="BN164" s="117" t="s">
        <v>932</v>
      </c>
      <c r="BO164" s="117" t="s">
        <v>932</v>
      </c>
      <c r="BP164" s="117">
        <v>1</v>
      </c>
      <c r="BQ164" s="117" t="s">
        <v>933</v>
      </c>
      <c r="BR164" s="124"/>
      <c r="BS164" s="117">
        <v>100</v>
      </c>
      <c r="BT164" s="117" t="s">
        <v>946</v>
      </c>
      <c r="BU164" s="117" t="s">
        <v>932</v>
      </c>
      <c r="BV164" s="117">
        <v>147</v>
      </c>
      <c r="BW164" s="117" t="s">
        <v>1764</v>
      </c>
      <c r="BX164" s="117">
        <v>6.05</v>
      </c>
      <c r="BY164" s="117" t="s">
        <v>190</v>
      </c>
      <c r="BZ164" s="124"/>
      <c r="CA164" s="124"/>
      <c r="CB164" s="124"/>
      <c r="CC164" s="117" t="s">
        <v>1443</v>
      </c>
      <c r="CD164" s="117" t="s">
        <v>932</v>
      </c>
      <c r="CE164" s="117" t="s">
        <v>932</v>
      </c>
      <c r="CF164" s="117">
        <v>28</v>
      </c>
      <c r="CG164" s="117">
        <v>1</v>
      </c>
      <c r="CH164" s="117" t="s">
        <v>932</v>
      </c>
      <c r="CI164" s="117" t="s">
        <v>932</v>
      </c>
    </row>
    <row r="165" spans="1:87" s="117" customFormat="1" ht="25.5">
      <c r="A165" s="114">
        <v>41741.609467592592</v>
      </c>
      <c r="B165" s="124"/>
      <c r="C165" s="114">
        <v>41741.670289351852</v>
      </c>
      <c r="D165" s="115">
        <v>41741.670289351852</v>
      </c>
      <c r="E165" s="116" t="s">
        <v>1765</v>
      </c>
      <c r="F165" s="122" t="s">
        <v>1766</v>
      </c>
      <c r="G165" s="117" t="s">
        <v>1546</v>
      </c>
      <c r="H165" s="124"/>
      <c r="I165" s="117">
        <v>140</v>
      </c>
      <c r="J165" s="118" t="s">
        <v>998</v>
      </c>
      <c r="K165" s="117" t="s">
        <v>1767</v>
      </c>
      <c r="L165" s="117" t="s">
        <v>931</v>
      </c>
      <c r="M165" s="117" t="s">
        <v>932</v>
      </c>
      <c r="N165" s="117" t="s">
        <v>932</v>
      </c>
      <c r="O165" s="117" t="s">
        <v>932</v>
      </c>
      <c r="P165" s="117" t="s">
        <v>932</v>
      </c>
      <c r="Q165" s="117" t="s">
        <v>934</v>
      </c>
      <c r="R165" s="117" t="s">
        <v>932</v>
      </c>
      <c r="S165" s="117" t="s">
        <v>932</v>
      </c>
      <c r="T165" s="119" t="s">
        <v>932</v>
      </c>
      <c r="U165" s="117" t="s">
        <v>932</v>
      </c>
      <c r="V165" s="117" t="s">
        <v>932</v>
      </c>
      <c r="W165" s="117" t="s">
        <v>932</v>
      </c>
      <c r="X165" s="117" t="s">
        <v>934</v>
      </c>
      <c r="Y165" s="117" t="s">
        <v>934</v>
      </c>
      <c r="Z165" s="117" t="s">
        <v>933</v>
      </c>
      <c r="AA165" s="117" t="s">
        <v>932</v>
      </c>
      <c r="AB165" s="117" t="s">
        <v>933</v>
      </c>
      <c r="AC165" s="117" t="s">
        <v>932</v>
      </c>
      <c r="AD165" s="117" t="s">
        <v>934</v>
      </c>
      <c r="AE165" s="117" t="s">
        <v>934</v>
      </c>
      <c r="AF165" s="117" t="s">
        <v>932</v>
      </c>
      <c r="AG165" s="117" t="s">
        <v>933</v>
      </c>
      <c r="AH165" s="117" t="s">
        <v>933</v>
      </c>
      <c r="AI165" s="117" t="s">
        <v>933</v>
      </c>
      <c r="AJ165" s="117" t="s">
        <v>943</v>
      </c>
      <c r="AK165" s="117" t="s">
        <v>936</v>
      </c>
      <c r="AL165" s="117" t="s">
        <v>943</v>
      </c>
      <c r="AM165" s="117" t="s">
        <v>992</v>
      </c>
      <c r="AN165" s="117" t="s">
        <v>932</v>
      </c>
      <c r="AO165" s="124"/>
      <c r="AP165" s="117" t="s">
        <v>981</v>
      </c>
      <c r="AQ165" s="117" t="s">
        <v>1080</v>
      </c>
      <c r="AR165" s="117" t="s">
        <v>942</v>
      </c>
      <c r="AS165" s="117" t="s">
        <v>943</v>
      </c>
      <c r="AT165" s="117" t="s">
        <v>933</v>
      </c>
      <c r="AU165" s="117" t="s">
        <v>933</v>
      </c>
      <c r="AV165" s="117" t="s">
        <v>933</v>
      </c>
      <c r="AW165" s="117">
        <v>11</v>
      </c>
      <c r="AX165" s="117" t="s">
        <v>933</v>
      </c>
      <c r="AY165" s="117">
        <v>12.6</v>
      </c>
      <c r="AZ165" s="117">
        <v>11</v>
      </c>
      <c r="BA165" s="117" t="s">
        <v>932</v>
      </c>
      <c r="BB165" s="117" t="s">
        <v>932</v>
      </c>
      <c r="BC165" s="117" t="s">
        <v>932</v>
      </c>
      <c r="BD165" s="117" t="s">
        <v>932</v>
      </c>
      <c r="BE165" s="117" t="s">
        <v>932</v>
      </c>
      <c r="BF165" s="117">
        <v>0</v>
      </c>
      <c r="BG165" s="117" t="s">
        <v>932</v>
      </c>
      <c r="BH165" s="117">
        <v>15</v>
      </c>
      <c r="BI165" s="117" t="s">
        <v>1768</v>
      </c>
      <c r="BJ165" s="117" t="s">
        <v>932</v>
      </c>
      <c r="BK165" s="117" t="s">
        <v>932</v>
      </c>
      <c r="BL165" s="117">
        <v>0.5</v>
      </c>
      <c r="BM165" s="117" t="s">
        <v>932</v>
      </c>
      <c r="BN165" s="117" t="s">
        <v>932</v>
      </c>
      <c r="BO165" s="117" t="s">
        <v>932</v>
      </c>
      <c r="BP165" s="117">
        <v>0</v>
      </c>
      <c r="BQ165" s="117" t="s">
        <v>932</v>
      </c>
      <c r="BR165" s="124"/>
      <c r="BS165" s="117">
        <v>200</v>
      </c>
      <c r="BT165" s="117" t="s">
        <v>946</v>
      </c>
      <c r="BU165" s="117" t="s">
        <v>932</v>
      </c>
      <c r="BV165" s="117">
        <v>140</v>
      </c>
      <c r="BW165" s="117" t="s">
        <v>1769</v>
      </c>
      <c r="BX165" s="117">
        <v>6.05</v>
      </c>
      <c r="BY165" s="117" t="s">
        <v>190</v>
      </c>
      <c r="BZ165" s="124"/>
      <c r="CA165" s="124"/>
      <c r="CB165" s="124"/>
      <c r="CC165" s="124"/>
      <c r="CD165" s="117" t="s">
        <v>932</v>
      </c>
      <c r="CE165" s="117" t="s">
        <v>932</v>
      </c>
      <c r="CF165" s="117">
        <v>30</v>
      </c>
      <c r="CG165" s="117">
        <v>0.5</v>
      </c>
      <c r="CH165" s="117" t="s">
        <v>932</v>
      </c>
      <c r="CI165" s="117" t="s">
        <v>932</v>
      </c>
    </row>
    <row r="166" spans="1:87" s="117" customFormat="1" ht="25.5">
      <c r="A166" s="114">
        <v>41743.326736111114</v>
      </c>
      <c r="B166" s="115">
        <v>41743.326736111114</v>
      </c>
      <c r="C166" s="124"/>
      <c r="D166" s="124"/>
      <c r="E166" s="116" t="s">
        <v>1770</v>
      </c>
      <c r="F166" s="124"/>
      <c r="G166" s="124"/>
      <c r="H166" s="124"/>
      <c r="I166" s="124"/>
      <c r="J166" s="124"/>
      <c r="K166" s="124"/>
      <c r="L166" s="124"/>
      <c r="M166" s="124"/>
      <c r="N166" s="124"/>
      <c r="O166" s="124"/>
      <c r="P166" s="124"/>
      <c r="Q166" s="124"/>
      <c r="R166" s="124"/>
      <c r="S166" s="124"/>
      <c r="T166" s="124"/>
      <c r="U166" s="124"/>
      <c r="V166" s="124"/>
      <c r="W166" s="124"/>
      <c r="X166" s="124"/>
      <c r="Y166" s="124"/>
      <c r="Z166" s="124"/>
      <c r="AA166" s="124"/>
      <c r="AB166" s="124"/>
      <c r="AC166" s="124"/>
      <c r="AD166" s="124"/>
      <c r="AE166" s="124"/>
      <c r="AF166" s="124"/>
      <c r="AG166" s="124"/>
      <c r="AH166" s="124"/>
      <c r="AI166" s="124"/>
      <c r="AJ166" s="124"/>
      <c r="AK166" s="124"/>
      <c r="AL166" s="124"/>
      <c r="AM166" s="124"/>
      <c r="AN166" s="124"/>
      <c r="AO166" s="124"/>
      <c r="AP166" s="124"/>
      <c r="AQ166" s="124"/>
      <c r="AR166" s="124"/>
      <c r="AS166" s="124"/>
      <c r="AT166" s="124"/>
      <c r="AU166" s="124"/>
      <c r="AV166" s="124"/>
      <c r="AW166" s="124"/>
      <c r="AX166" s="124"/>
      <c r="AY166" s="124"/>
      <c r="AZ166" s="124"/>
      <c r="BA166" s="124"/>
      <c r="BB166" s="124"/>
      <c r="BC166" s="124"/>
      <c r="BD166" s="124"/>
      <c r="BE166" s="124"/>
      <c r="BF166" s="124"/>
      <c r="BG166" s="124"/>
      <c r="BH166" s="124"/>
      <c r="BI166" s="124"/>
      <c r="BJ166" s="124"/>
      <c r="BK166" s="124"/>
      <c r="BL166" s="124"/>
      <c r="BM166" s="124"/>
      <c r="BN166" s="124"/>
      <c r="BO166" s="124"/>
      <c r="BP166" s="124"/>
      <c r="BQ166" s="124"/>
      <c r="BR166" s="124"/>
      <c r="BS166" s="124"/>
      <c r="BT166" s="124"/>
      <c r="BU166" s="124"/>
      <c r="BV166" s="124"/>
      <c r="BW166" s="124"/>
      <c r="BX166" s="124"/>
      <c r="BY166" s="124"/>
      <c r="BZ166" s="124"/>
      <c r="CA166" s="124"/>
      <c r="CB166" s="124"/>
      <c r="CC166" s="124"/>
      <c r="CD166" s="124"/>
      <c r="CE166" s="124"/>
      <c r="CF166" s="124"/>
      <c r="CG166" s="124"/>
      <c r="CH166" s="124"/>
      <c r="CI166" s="124"/>
    </row>
    <row r="167" spans="1:87" s="117" customFormat="1" ht="25.5">
      <c r="A167" s="114">
        <v>41743.33384259259</v>
      </c>
      <c r="B167" s="115">
        <v>41743.33384259259</v>
      </c>
      <c r="C167" s="114">
        <v>41743.400752314818</v>
      </c>
      <c r="D167" s="115">
        <v>41743.400752314818</v>
      </c>
      <c r="E167" s="116" t="s">
        <v>1771</v>
      </c>
      <c r="F167" s="122" t="s">
        <v>1772</v>
      </c>
      <c r="G167" s="117" t="s">
        <v>1773</v>
      </c>
      <c r="H167" s="117">
        <v>8017050557</v>
      </c>
      <c r="I167" s="117">
        <v>291</v>
      </c>
      <c r="J167" s="118" t="s">
        <v>1144</v>
      </c>
      <c r="K167" s="117" t="s">
        <v>1649</v>
      </c>
      <c r="L167" s="117" t="s">
        <v>931</v>
      </c>
      <c r="M167" s="117" t="s">
        <v>932</v>
      </c>
      <c r="N167" s="117" t="s">
        <v>932</v>
      </c>
      <c r="O167" s="117" t="s">
        <v>932</v>
      </c>
      <c r="P167" s="117" t="s">
        <v>932</v>
      </c>
      <c r="Q167" s="117" t="s">
        <v>932</v>
      </c>
      <c r="R167" s="117" t="s">
        <v>932</v>
      </c>
      <c r="S167" s="117" t="s">
        <v>932</v>
      </c>
      <c r="T167" s="119" t="s">
        <v>932</v>
      </c>
      <c r="U167" s="117" t="s">
        <v>932</v>
      </c>
      <c r="V167" s="117" t="s">
        <v>932</v>
      </c>
      <c r="W167" s="117" t="s">
        <v>932</v>
      </c>
      <c r="X167" s="117" t="s">
        <v>934</v>
      </c>
      <c r="Y167" s="117" t="s">
        <v>934</v>
      </c>
      <c r="Z167" s="117" t="s">
        <v>934</v>
      </c>
      <c r="AA167" s="117" t="s">
        <v>932</v>
      </c>
      <c r="AB167" s="117" t="s">
        <v>932</v>
      </c>
      <c r="AC167" s="117" t="s">
        <v>932</v>
      </c>
      <c r="AD167" s="117" t="s">
        <v>934</v>
      </c>
      <c r="AE167" s="117" t="s">
        <v>934</v>
      </c>
      <c r="AF167" s="117" t="s">
        <v>934</v>
      </c>
      <c r="AG167" s="117" t="s">
        <v>932</v>
      </c>
      <c r="AH167" s="117" t="s">
        <v>933</v>
      </c>
      <c r="AI167" s="117" t="s">
        <v>933</v>
      </c>
      <c r="AJ167" s="117" t="s">
        <v>943</v>
      </c>
      <c r="AK167" s="117" t="s">
        <v>936</v>
      </c>
      <c r="AL167" s="117" t="s">
        <v>943</v>
      </c>
      <c r="AM167" s="117" t="s">
        <v>1652</v>
      </c>
      <c r="AN167" s="117" t="s">
        <v>932</v>
      </c>
      <c r="AO167" s="124"/>
      <c r="AP167" s="117" t="s">
        <v>981</v>
      </c>
      <c r="AQ167" s="117">
        <v>1680</v>
      </c>
      <c r="AR167" s="117" t="s">
        <v>1652</v>
      </c>
      <c r="AS167" s="117" t="s">
        <v>943</v>
      </c>
      <c r="AT167" s="117" t="s">
        <v>933</v>
      </c>
      <c r="AU167" s="117" t="s">
        <v>933</v>
      </c>
      <c r="AV167" s="117" t="s">
        <v>933</v>
      </c>
      <c r="AW167" s="117" t="s">
        <v>944</v>
      </c>
      <c r="AX167" s="117" t="s">
        <v>932</v>
      </c>
      <c r="AY167" s="117">
        <v>4.7</v>
      </c>
      <c r="AZ167" s="117">
        <v>4.2</v>
      </c>
      <c r="BA167" s="117" t="s">
        <v>932</v>
      </c>
      <c r="BB167" s="117" t="s">
        <v>932</v>
      </c>
      <c r="BC167" s="117" t="s">
        <v>932</v>
      </c>
      <c r="BD167" s="117" t="s">
        <v>932</v>
      </c>
      <c r="BE167" s="117" t="s">
        <v>932</v>
      </c>
      <c r="BF167" s="117">
        <v>0</v>
      </c>
      <c r="BG167" s="117" t="s">
        <v>932</v>
      </c>
      <c r="BH167" s="117">
        <v>15</v>
      </c>
      <c r="BI167" s="117" t="s">
        <v>1774</v>
      </c>
      <c r="BJ167" s="117" t="s">
        <v>932</v>
      </c>
      <c r="BK167" s="117" t="s">
        <v>932</v>
      </c>
      <c r="BL167" s="117">
        <v>1</v>
      </c>
      <c r="BM167" s="117" t="s">
        <v>932</v>
      </c>
      <c r="BN167" s="124"/>
      <c r="BO167" s="117" t="s">
        <v>932</v>
      </c>
      <c r="BP167" s="117">
        <v>1</v>
      </c>
      <c r="BQ167" s="124"/>
      <c r="BR167" s="124"/>
      <c r="BS167" s="117">
        <v>200</v>
      </c>
      <c r="BT167" s="117" t="s">
        <v>946</v>
      </c>
      <c r="BU167" s="117" t="s">
        <v>932</v>
      </c>
      <c r="BV167" s="117">
        <v>291</v>
      </c>
      <c r="BW167" s="117" t="s">
        <v>1775</v>
      </c>
      <c r="BX167" s="117">
        <v>6.05</v>
      </c>
      <c r="BY167" s="117" t="s">
        <v>1443</v>
      </c>
      <c r="BZ167" s="124"/>
      <c r="CA167" s="124"/>
      <c r="CB167" s="117" t="s">
        <v>932</v>
      </c>
      <c r="CC167" s="117" t="s">
        <v>190</v>
      </c>
      <c r="CD167" s="117" t="s">
        <v>932</v>
      </c>
      <c r="CE167" s="117" t="s">
        <v>932</v>
      </c>
      <c r="CF167" s="117">
        <v>30</v>
      </c>
      <c r="CG167" s="117">
        <v>1</v>
      </c>
      <c r="CH167" s="117" t="s">
        <v>932</v>
      </c>
      <c r="CI167" s="117" t="s">
        <v>932</v>
      </c>
    </row>
    <row r="168" spans="1:87" s="117" customFormat="1" ht="25.5">
      <c r="A168" s="114">
        <v>41743.336840277778</v>
      </c>
      <c r="B168" s="115">
        <v>41743.336840277778</v>
      </c>
      <c r="C168" s="114">
        <v>41743.347812499997</v>
      </c>
      <c r="D168" s="115">
        <v>41743.347812499997</v>
      </c>
      <c r="E168" s="116" t="s">
        <v>1776</v>
      </c>
      <c r="F168" s="122" t="s">
        <v>1647</v>
      </c>
      <c r="G168" s="117" t="s">
        <v>1648</v>
      </c>
      <c r="H168" s="124"/>
      <c r="I168" s="117">
        <v>261</v>
      </c>
      <c r="J168" s="118" t="s">
        <v>1473</v>
      </c>
      <c r="K168" s="117" t="s">
        <v>1777</v>
      </c>
      <c r="L168" s="117" t="s">
        <v>931</v>
      </c>
      <c r="M168" s="117" t="s">
        <v>932</v>
      </c>
      <c r="N168" s="117" t="s">
        <v>932</v>
      </c>
      <c r="O168" s="117" t="s">
        <v>932</v>
      </c>
      <c r="P168" s="117" t="s">
        <v>932</v>
      </c>
      <c r="Q168" s="117" t="s">
        <v>932</v>
      </c>
      <c r="R168" s="117" t="s">
        <v>932</v>
      </c>
      <c r="S168" s="117" t="s">
        <v>932</v>
      </c>
      <c r="T168" s="119" t="s">
        <v>932</v>
      </c>
      <c r="U168" s="117" t="s">
        <v>932</v>
      </c>
      <c r="V168" s="117" t="s">
        <v>932</v>
      </c>
      <c r="W168" s="117" t="s">
        <v>932</v>
      </c>
      <c r="X168" s="117" t="s">
        <v>932</v>
      </c>
      <c r="Y168" s="117" t="s">
        <v>934</v>
      </c>
      <c r="Z168" s="117" t="s">
        <v>934</v>
      </c>
      <c r="AA168" s="117" t="s">
        <v>932</v>
      </c>
      <c r="AB168" s="117" t="s">
        <v>932</v>
      </c>
      <c r="AC168" s="117" t="s">
        <v>932</v>
      </c>
      <c r="AD168" s="117" t="s">
        <v>934</v>
      </c>
      <c r="AE168" s="117" t="s">
        <v>934</v>
      </c>
      <c r="AF168" s="117" t="s">
        <v>934</v>
      </c>
      <c r="AG168" s="117" t="s">
        <v>932</v>
      </c>
      <c r="AH168" s="117" t="s">
        <v>934</v>
      </c>
      <c r="AI168" s="117" t="s">
        <v>934</v>
      </c>
      <c r="AJ168" s="117" t="s">
        <v>1778</v>
      </c>
      <c r="AK168" s="117" t="s">
        <v>1779</v>
      </c>
      <c r="AL168" s="117" t="s">
        <v>943</v>
      </c>
      <c r="AM168" s="117" t="s">
        <v>1580</v>
      </c>
      <c r="AN168" s="117" t="s">
        <v>932</v>
      </c>
      <c r="AO168" s="124"/>
      <c r="AP168" s="117" t="s">
        <v>1724</v>
      </c>
      <c r="AQ168" s="117" t="s">
        <v>1330</v>
      </c>
      <c r="AR168" s="117" t="s">
        <v>1652</v>
      </c>
      <c r="AS168" s="117" t="s">
        <v>943</v>
      </c>
      <c r="AT168" s="117" t="s">
        <v>933</v>
      </c>
      <c r="AU168" s="117" t="s">
        <v>933</v>
      </c>
      <c r="AV168" s="117" t="s">
        <v>932</v>
      </c>
      <c r="AW168" s="117">
        <v>34.4</v>
      </c>
      <c r="AX168" s="117" t="s">
        <v>932</v>
      </c>
      <c r="AY168" s="117">
        <v>24.2</v>
      </c>
      <c r="AZ168" s="117">
        <v>1.9</v>
      </c>
      <c r="BA168" s="117" t="s">
        <v>932</v>
      </c>
      <c r="BB168" s="117" t="s">
        <v>932</v>
      </c>
      <c r="BC168" s="117" t="s">
        <v>932</v>
      </c>
      <c r="BD168" s="124"/>
      <c r="BE168" s="117" t="s">
        <v>932</v>
      </c>
      <c r="BF168" s="117">
        <v>1</v>
      </c>
      <c r="BG168" s="124"/>
      <c r="BH168" s="117">
        <v>15</v>
      </c>
      <c r="BI168" s="117" t="s">
        <v>1780</v>
      </c>
      <c r="BJ168" s="117" t="s">
        <v>932</v>
      </c>
      <c r="BK168" s="117" t="s">
        <v>933</v>
      </c>
      <c r="BL168" s="117" t="s">
        <v>1082</v>
      </c>
      <c r="BM168" s="124"/>
      <c r="BN168" s="124"/>
      <c r="BO168" s="117" t="s">
        <v>933</v>
      </c>
      <c r="BP168" s="117">
        <v>1</v>
      </c>
      <c r="BQ168" s="124"/>
      <c r="BR168" s="124"/>
      <c r="BS168" s="117">
        <v>200</v>
      </c>
      <c r="BT168" s="124"/>
      <c r="BU168" s="124"/>
      <c r="BV168" s="124"/>
      <c r="BW168" s="124"/>
      <c r="BX168" s="124"/>
      <c r="BY168" s="124"/>
      <c r="BZ168" s="124"/>
      <c r="CA168" s="124"/>
      <c r="CB168" s="124"/>
      <c r="CC168" s="124"/>
      <c r="CD168" s="124"/>
      <c r="CE168" s="124"/>
      <c r="CF168" s="124"/>
      <c r="CG168" s="124"/>
      <c r="CH168" s="124"/>
      <c r="CI168" s="124"/>
    </row>
    <row r="169" spans="1:87" s="117" customFormat="1" ht="25.5">
      <c r="A169" s="114">
        <v>41743.357349537036</v>
      </c>
      <c r="B169" s="115">
        <v>41743.357349537036</v>
      </c>
      <c r="C169" s="114">
        <v>41743.417210648149</v>
      </c>
      <c r="D169" s="115">
        <v>41743.417210648149</v>
      </c>
      <c r="E169" s="116" t="s">
        <v>1781</v>
      </c>
      <c r="F169" s="122" t="s">
        <v>1693</v>
      </c>
      <c r="G169" s="117" t="s">
        <v>1782</v>
      </c>
      <c r="H169" s="124"/>
      <c r="I169" s="117">
        <v>121</v>
      </c>
      <c r="J169" s="118" t="s">
        <v>998</v>
      </c>
      <c r="K169" s="117" t="s">
        <v>1649</v>
      </c>
      <c r="L169" s="117" t="s">
        <v>931</v>
      </c>
      <c r="M169" s="117" t="s">
        <v>932</v>
      </c>
      <c r="N169" s="117" t="s">
        <v>932</v>
      </c>
      <c r="O169" s="117" t="s">
        <v>932</v>
      </c>
      <c r="P169" s="117" t="s">
        <v>932</v>
      </c>
      <c r="Q169" s="117" t="s">
        <v>932</v>
      </c>
      <c r="R169" s="117" t="s">
        <v>932</v>
      </c>
      <c r="S169" s="117" t="s">
        <v>932</v>
      </c>
      <c r="T169" s="119" t="s">
        <v>932</v>
      </c>
      <c r="U169" s="117" t="s">
        <v>932</v>
      </c>
      <c r="V169" s="117" t="s">
        <v>932</v>
      </c>
      <c r="W169" s="117" t="s">
        <v>932</v>
      </c>
      <c r="X169" s="117" t="s">
        <v>934</v>
      </c>
      <c r="Y169" s="117" t="s">
        <v>934</v>
      </c>
      <c r="Z169" s="117" t="s">
        <v>934</v>
      </c>
      <c r="AA169" s="117" t="s">
        <v>934</v>
      </c>
      <c r="AB169" s="117" t="s">
        <v>932</v>
      </c>
      <c r="AC169" s="117" t="s">
        <v>932</v>
      </c>
      <c r="AD169" s="117" t="s">
        <v>934</v>
      </c>
      <c r="AE169" s="117" t="s">
        <v>934</v>
      </c>
      <c r="AF169" s="117" t="s">
        <v>934</v>
      </c>
      <c r="AG169" s="117" t="s">
        <v>934</v>
      </c>
      <c r="AH169" s="117" t="s">
        <v>934</v>
      </c>
      <c r="AI169" s="117" t="s">
        <v>934</v>
      </c>
      <c r="AJ169" s="117" t="s">
        <v>1783</v>
      </c>
      <c r="AK169" s="117" t="s">
        <v>936</v>
      </c>
      <c r="AL169" s="117" t="s">
        <v>943</v>
      </c>
      <c r="AM169" s="117" t="s">
        <v>1652</v>
      </c>
      <c r="AN169" s="117" t="s">
        <v>932</v>
      </c>
      <c r="AO169" s="124"/>
      <c r="AP169" s="117" t="s">
        <v>955</v>
      </c>
      <c r="AQ169" s="117" t="s">
        <v>1756</v>
      </c>
      <c r="AR169" s="117" t="s">
        <v>1652</v>
      </c>
      <c r="AS169" s="117" t="s">
        <v>943</v>
      </c>
      <c r="AT169" s="117" t="s">
        <v>933</v>
      </c>
      <c r="AU169" s="117" t="s">
        <v>933</v>
      </c>
      <c r="AV169" s="117" t="s">
        <v>932</v>
      </c>
      <c r="AW169" s="117">
        <v>9</v>
      </c>
      <c r="AX169" s="117" t="s">
        <v>933</v>
      </c>
      <c r="AY169" s="117" t="s">
        <v>944</v>
      </c>
      <c r="AZ169" s="117">
        <v>14.9</v>
      </c>
      <c r="BA169" s="117" t="s">
        <v>932</v>
      </c>
      <c r="BB169" s="117" t="s">
        <v>932</v>
      </c>
      <c r="BC169" s="117" t="s">
        <v>932</v>
      </c>
      <c r="BD169" s="117" t="s">
        <v>932</v>
      </c>
      <c r="BE169" s="117" t="s">
        <v>932</v>
      </c>
      <c r="BF169" s="117">
        <v>1</v>
      </c>
      <c r="BG169" s="124"/>
      <c r="BH169" s="117">
        <v>15</v>
      </c>
      <c r="BI169" s="117" t="s">
        <v>1707</v>
      </c>
      <c r="BJ169" s="117" t="s">
        <v>932</v>
      </c>
      <c r="BK169" s="117" t="s">
        <v>932</v>
      </c>
      <c r="BL169" s="117">
        <v>1</v>
      </c>
      <c r="BM169" s="124"/>
      <c r="BN169" s="124"/>
      <c r="BO169" s="124"/>
      <c r="BP169" s="117">
        <v>1</v>
      </c>
      <c r="BQ169" s="124"/>
      <c r="BR169" s="124"/>
      <c r="BS169" s="117">
        <v>200</v>
      </c>
      <c r="BT169" s="117" t="s">
        <v>946</v>
      </c>
      <c r="BU169" s="117" t="s">
        <v>932</v>
      </c>
      <c r="BV169" s="117">
        <v>121</v>
      </c>
      <c r="BW169" s="117" t="s">
        <v>1784</v>
      </c>
      <c r="BX169" s="117">
        <v>6.05</v>
      </c>
      <c r="BY169" s="117" t="s">
        <v>1443</v>
      </c>
      <c r="BZ169" s="124"/>
      <c r="CA169" s="124"/>
      <c r="CB169" s="117" t="s">
        <v>932</v>
      </c>
      <c r="CC169" s="117" t="s">
        <v>190</v>
      </c>
      <c r="CD169" s="117" t="s">
        <v>932</v>
      </c>
      <c r="CE169" s="117" t="s">
        <v>932</v>
      </c>
      <c r="CF169" s="117">
        <v>30</v>
      </c>
      <c r="CG169" s="117">
        <v>0.2</v>
      </c>
      <c r="CH169" s="117" t="s">
        <v>932</v>
      </c>
      <c r="CI169" s="117" t="s">
        <v>932</v>
      </c>
    </row>
    <row r="170" spans="1:87" s="117" customFormat="1" ht="25.5">
      <c r="A170" s="114">
        <v>41743.367245370369</v>
      </c>
      <c r="B170" s="115">
        <v>41743.367245370369</v>
      </c>
      <c r="C170" s="114">
        <v>41743.367245370369</v>
      </c>
      <c r="D170" s="115">
        <v>41743.367245370369</v>
      </c>
      <c r="E170" s="116" t="s">
        <v>1785</v>
      </c>
      <c r="F170" s="122" t="s">
        <v>1693</v>
      </c>
      <c r="G170" s="117" t="s">
        <v>1786</v>
      </c>
      <c r="H170" s="124"/>
      <c r="I170" s="117">
        <v>125</v>
      </c>
      <c r="J170" s="118" t="s">
        <v>998</v>
      </c>
      <c r="K170" s="117" t="s">
        <v>1649</v>
      </c>
      <c r="L170" s="117" t="s">
        <v>931</v>
      </c>
      <c r="M170" s="117" t="s">
        <v>932</v>
      </c>
      <c r="N170" s="117" t="s">
        <v>932</v>
      </c>
      <c r="O170" s="117" t="s">
        <v>932</v>
      </c>
      <c r="P170" s="117" t="s">
        <v>932</v>
      </c>
      <c r="Q170" s="117" t="s">
        <v>932</v>
      </c>
      <c r="R170" s="117" t="s">
        <v>932</v>
      </c>
      <c r="S170" s="117" t="s">
        <v>932</v>
      </c>
      <c r="T170" s="119" t="s">
        <v>932</v>
      </c>
      <c r="U170" s="117" t="s">
        <v>932</v>
      </c>
      <c r="V170" s="117" t="s">
        <v>934</v>
      </c>
      <c r="W170" s="117" t="s">
        <v>934</v>
      </c>
      <c r="X170" s="117" t="s">
        <v>934</v>
      </c>
      <c r="Y170" s="117" t="s">
        <v>934</v>
      </c>
      <c r="Z170" s="117" t="s">
        <v>934</v>
      </c>
      <c r="AA170" s="117" t="s">
        <v>934</v>
      </c>
      <c r="AB170" s="117" t="s">
        <v>934</v>
      </c>
      <c r="AC170" s="117" t="s">
        <v>934</v>
      </c>
      <c r="AD170" s="117" t="s">
        <v>934</v>
      </c>
      <c r="AE170" s="117" t="s">
        <v>934</v>
      </c>
      <c r="AF170" s="117" t="s">
        <v>934</v>
      </c>
      <c r="AG170" s="117" t="s">
        <v>934</v>
      </c>
      <c r="AH170" s="117" t="s">
        <v>934</v>
      </c>
      <c r="AI170" s="117" t="s">
        <v>934</v>
      </c>
      <c r="AJ170" s="117" t="s">
        <v>1787</v>
      </c>
      <c r="AK170" s="117" t="s">
        <v>1191</v>
      </c>
      <c r="AL170" s="117" t="s">
        <v>943</v>
      </c>
      <c r="AM170" s="117" t="s">
        <v>1652</v>
      </c>
      <c r="AN170" s="117" t="s">
        <v>932</v>
      </c>
      <c r="AO170" s="124"/>
      <c r="AP170" s="124"/>
      <c r="AQ170" s="124"/>
      <c r="AR170" s="124"/>
      <c r="AS170" s="124"/>
      <c r="AT170" s="124"/>
      <c r="AU170" s="124"/>
      <c r="AV170" s="117" t="s">
        <v>933</v>
      </c>
      <c r="AW170" s="117" t="s">
        <v>944</v>
      </c>
      <c r="AX170" s="117" t="s">
        <v>932</v>
      </c>
      <c r="AY170" s="117">
        <v>1.6</v>
      </c>
      <c r="AZ170" s="117">
        <v>0.2</v>
      </c>
      <c r="BA170" s="117" t="s">
        <v>932</v>
      </c>
      <c r="BB170" s="117" t="s">
        <v>932</v>
      </c>
      <c r="BC170" s="117" t="s">
        <v>932</v>
      </c>
      <c r="BD170" s="117" t="s">
        <v>932</v>
      </c>
      <c r="BE170" s="117" t="s">
        <v>932</v>
      </c>
      <c r="BF170" s="117">
        <v>1</v>
      </c>
      <c r="BG170" s="124"/>
      <c r="BH170" s="117">
        <v>15</v>
      </c>
      <c r="BI170" s="117" t="s">
        <v>1707</v>
      </c>
      <c r="BJ170" s="117" t="s">
        <v>932</v>
      </c>
      <c r="BK170" s="117" t="s">
        <v>932</v>
      </c>
      <c r="BL170" s="117">
        <v>1</v>
      </c>
      <c r="BM170" s="117" t="s">
        <v>932</v>
      </c>
      <c r="BN170" s="117" t="s">
        <v>932</v>
      </c>
      <c r="BO170" s="117" t="s">
        <v>932</v>
      </c>
      <c r="BP170" s="124"/>
      <c r="BQ170" s="124"/>
      <c r="BR170" s="124"/>
      <c r="BS170" s="117">
        <v>200</v>
      </c>
      <c r="BT170" s="117" t="s">
        <v>946</v>
      </c>
      <c r="BU170" s="117" t="s">
        <v>932</v>
      </c>
      <c r="BV170" s="117">
        <v>125</v>
      </c>
      <c r="BW170" s="117" t="s">
        <v>1788</v>
      </c>
      <c r="BX170" s="117">
        <v>6.05</v>
      </c>
      <c r="BY170" s="117" t="s">
        <v>1443</v>
      </c>
      <c r="BZ170" s="124"/>
      <c r="CA170" s="124"/>
      <c r="CB170" s="117" t="s">
        <v>932</v>
      </c>
      <c r="CC170" s="117" t="s">
        <v>190</v>
      </c>
      <c r="CD170" s="117" t="s">
        <v>932</v>
      </c>
      <c r="CE170" s="117" t="s">
        <v>932</v>
      </c>
      <c r="CF170" s="117">
        <v>30</v>
      </c>
      <c r="CG170" s="117">
        <v>0.2</v>
      </c>
      <c r="CH170" s="117" t="s">
        <v>932</v>
      </c>
      <c r="CI170" s="117" t="s">
        <v>932</v>
      </c>
    </row>
    <row r="171" spans="1:87" s="117" customFormat="1" ht="25.5">
      <c r="A171" s="114">
        <v>41743.369780092595</v>
      </c>
      <c r="B171" s="115">
        <v>41743.369780092595</v>
      </c>
      <c r="C171" s="114">
        <v>41744.475717592592</v>
      </c>
      <c r="D171" s="115">
        <v>41744.475717592592</v>
      </c>
      <c r="E171" s="116" t="s">
        <v>1789</v>
      </c>
      <c r="F171" s="122" t="s">
        <v>1693</v>
      </c>
      <c r="G171" s="117" t="s">
        <v>1786</v>
      </c>
      <c r="H171" s="124"/>
      <c r="I171" s="117">
        <v>195</v>
      </c>
      <c r="J171" s="118" t="s">
        <v>1790</v>
      </c>
      <c r="K171" s="117" t="s">
        <v>1790</v>
      </c>
      <c r="L171" s="117" t="s">
        <v>931</v>
      </c>
      <c r="M171" s="117" t="s">
        <v>934</v>
      </c>
      <c r="N171" s="117" t="s">
        <v>951</v>
      </c>
      <c r="O171" s="117" t="s">
        <v>932</v>
      </c>
      <c r="P171" s="117" t="s">
        <v>934</v>
      </c>
      <c r="Q171" s="117" t="s">
        <v>934</v>
      </c>
      <c r="R171" s="117" t="s">
        <v>934</v>
      </c>
      <c r="S171" s="117" t="s">
        <v>934</v>
      </c>
      <c r="T171" s="119" t="s">
        <v>934</v>
      </c>
      <c r="U171" s="117" t="s">
        <v>932</v>
      </c>
      <c r="V171" s="117" t="s">
        <v>932</v>
      </c>
      <c r="W171" s="117" t="s">
        <v>932</v>
      </c>
      <c r="X171" s="117" t="s">
        <v>934</v>
      </c>
      <c r="Y171" s="117" t="s">
        <v>934</v>
      </c>
      <c r="Z171" s="117" t="s">
        <v>934</v>
      </c>
      <c r="AA171" s="117" t="s">
        <v>934</v>
      </c>
      <c r="AB171" s="117" t="s">
        <v>934</v>
      </c>
      <c r="AC171" s="117" t="s">
        <v>934</v>
      </c>
      <c r="AD171" s="117" t="s">
        <v>934</v>
      </c>
      <c r="AE171" s="117" t="s">
        <v>934</v>
      </c>
      <c r="AF171" s="117" t="s">
        <v>934</v>
      </c>
      <c r="AG171" s="117" t="s">
        <v>934</v>
      </c>
      <c r="AH171" s="117" t="s">
        <v>934</v>
      </c>
      <c r="AI171" s="117" t="s">
        <v>934</v>
      </c>
      <c r="AJ171" s="117" t="s">
        <v>990</v>
      </c>
      <c r="AK171" s="117" t="s">
        <v>1779</v>
      </c>
      <c r="AL171" s="117" t="s">
        <v>943</v>
      </c>
      <c r="AM171" s="117" t="s">
        <v>992</v>
      </c>
      <c r="AN171" s="117" t="s">
        <v>932</v>
      </c>
      <c r="AO171" s="124"/>
      <c r="AP171" s="117" t="s">
        <v>1080</v>
      </c>
      <c r="AQ171" s="117" t="s">
        <v>1791</v>
      </c>
      <c r="AR171" s="117" t="s">
        <v>943</v>
      </c>
      <c r="AS171" s="117" t="s">
        <v>943</v>
      </c>
      <c r="AT171" s="117" t="s">
        <v>933</v>
      </c>
      <c r="AU171" s="117" t="s">
        <v>933</v>
      </c>
      <c r="AV171" s="117" t="s">
        <v>932</v>
      </c>
      <c r="AW171" s="117">
        <v>10</v>
      </c>
      <c r="AX171" s="117" t="s">
        <v>932</v>
      </c>
      <c r="AY171" s="117">
        <v>10</v>
      </c>
      <c r="AZ171" s="117">
        <v>10</v>
      </c>
      <c r="BA171" s="117" t="s">
        <v>932</v>
      </c>
      <c r="BB171" s="117" t="s">
        <v>932</v>
      </c>
      <c r="BC171" s="117" t="s">
        <v>932</v>
      </c>
      <c r="BD171" s="117" t="s">
        <v>932</v>
      </c>
      <c r="BE171" s="117" t="s">
        <v>932</v>
      </c>
      <c r="BF171" s="117">
        <v>1</v>
      </c>
      <c r="BG171" s="124"/>
      <c r="BH171" s="117">
        <v>20</v>
      </c>
      <c r="BI171" s="117" t="s">
        <v>1707</v>
      </c>
      <c r="BJ171" s="124"/>
      <c r="BK171" s="117" t="s">
        <v>932</v>
      </c>
      <c r="BL171" s="117">
        <v>1</v>
      </c>
      <c r="BM171" s="117" t="s">
        <v>932</v>
      </c>
      <c r="BN171" s="117" t="s">
        <v>932</v>
      </c>
      <c r="BO171" s="117" t="s">
        <v>932</v>
      </c>
      <c r="BP171" s="117">
        <v>1</v>
      </c>
      <c r="BQ171" s="124"/>
      <c r="BR171" s="124"/>
      <c r="BS171" s="117">
        <v>1000</v>
      </c>
      <c r="BT171" s="124"/>
      <c r="BU171" s="124"/>
      <c r="BV171" s="124"/>
      <c r="BW171" s="124"/>
      <c r="BX171" s="124"/>
      <c r="BY171" s="124"/>
      <c r="BZ171" s="124"/>
      <c r="CA171" s="124"/>
      <c r="CB171" s="124"/>
      <c r="CC171" s="124"/>
      <c r="CD171" s="124"/>
      <c r="CE171" s="124"/>
      <c r="CF171" s="124"/>
      <c r="CG171" s="124"/>
      <c r="CH171" s="124"/>
      <c r="CI171" s="124"/>
    </row>
    <row r="172" spans="1:87" s="117" customFormat="1" ht="25.5">
      <c r="A172" s="114">
        <v>41743.390081018515</v>
      </c>
      <c r="B172" s="115">
        <v>41743.390081018515</v>
      </c>
      <c r="C172" s="114">
        <v>41743.440787037034</v>
      </c>
      <c r="D172" s="115">
        <v>41743.440787037034</v>
      </c>
      <c r="E172" s="116" t="s">
        <v>1792</v>
      </c>
      <c r="F172" s="122" t="s">
        <v>1693</v>
      </c>
      <c r="G172" s="117" t="s">
        <v>1786</v>
      </c>
      <c r="H172" s="124"/>
      <c r="I172" s="117">
        <v>102</v>
      </c>
      <c r="J172" s="118" t="s">
        <v>998</v>
      </c>
      <c r="K172" s="117" t="s">
        <v>1649</v>
      </c>
      <c r="L172" s="117" t="s">
        <v>931</v>
      </c>
      <c r="M172" s="117" t="s">
        <v>932</v>
      </c>
      <c r="N172" s="117" t="s">
        <v>932</v>
      </c>
      <c r="O172" s="117" t="s">
        <v>932</v>
      </c>
      <c r="P172" s="117" t="s">
        <v>932</v>
      </c>
      <c r="Q172" s="117" t="s">
        <v>932</v>
      </c>
      <c r="R172" s="117" t="s">
        <v>932</v>
      </c>
      <c r="S172" s="117" t="s">
        <v>932</v>
      </c>
      <c r="T172" s="119" t="s">
        <v>932</v>
      </c>
      <c r="U172" s="117" t="s">
        <v>932</v>
      </c>
      <c r="V172" s="117" t="s">
        <v>932</v>
      </c>
      <c r="W172" s="117" t="s">
        <v>933</v>
      </c>
      <c r="X172" s="117" t="s">
        <v>932</v>
      </c>
      <c r="Y172" s="117" t="s">
        <v>934</v>
      </c>
      <c r="Z172" s="117" t="s">
        <v>932</v>
      </c>
      <c r="AA172" s="117" t="s">
        <v>932</v>
      </c>
      <c r="AB172" s="117" t="s">
        <v>932</v>
      </c>
      <c r="AC172" s="117" t="s">
        <v>934</v>
      </c>
      <c r="AD172" s="117" t="s">
        <v>934</v>
      </c>
      <c r="AE172" s="117" t="s">
        <v>934</v>
      </c>
      <c r="AF172" s="117" t="s">
        <v>934</v>
      </c>
      <c r="AG172" s="117" t="s">
        <v>934</v>
      </c>
      <c r="AH172" s="117" t="s">
        <v>934</v>
      </c>
      <c r="AI172" s="117" t="s">
        <v>934</v>
      </c>
      <c r="AJ172" s="117" t="s">
        <v>943</v>
      </c>
      <c r="AK172" s="117" t="s">
        <v>1656</v>
      </c>
      <c r="AL172" s="117" t="s">
        <v>943</v>
      </c>
      <c r="AM172" s="117" t="s">
        <v>1652</v>
      </c>
      <c r="AN172" s="117" t="s">
        <v>932</v>
      </c>
      <c r="AO172" s="124"/>
      <c r="AP172" s="117" t="s">
        <v>981</v>
      </c>
      <c r="AQ172" s="117">
        <v>1680</v>
      </c>
      <c r="AR172" s="117" t="s">
        <v>1652</v>
      </c>
      <c r="AS172" s="117" t="s">
        <v>943</v>
      </c>
      <c r="AT172" s="117" t="s">
        <v>933</v>
      </c>
      <c r="AU172" s="124"/>
      <c r="AV172" s="117" t="s">
        <v>932</v>
      </c>
      <c r="AW172" s="117">
        <v>0.2</v>
      </c>
      <c r="AX172" s="117" t="s">
        <v>932</v>
      </c>
      <c r="AY172" s="117">
        <v>1.9</v>
      </c>
      <c r="AZ172" s="117">
        <v>0.2</v>
      </c>
      <c r="BA172" s="117" t="s">
        <v>932</v>
      </c>
      <c r="BB172" s="117" t="s">
        <v>932</v>
      </c>
      <c r="BC172" s="117" t="s">
        <v>932</v>
      </c>
      <c r="BD172" s="117" t="s">
        <v>932</v>
      </c>
      <c r="BE172" s="117" t="s">
        <v>932</v>
      </c>
      <c r="BF172" s="117">
        <v>1</v>
      </c>
      <c r="BG172" s="117" t="s">
        <v>933</v>
      </c>
      <c r="BH172" s="117">
        <v>15</v>
      </c>
      <c r="BI172" s="117" t="s">
        <v>1707</v>
      </c>
      <c r="BJ172" s="117" t="s">
        <v>932</v>
      </c>
      <c r="BK172" s="124"/>
      <c r="BL172" s="117" t="s">
        <v>956</v>
      </c>
      <c r="BM172" s="117" t="s">
        <v>932</v>
      </c>
      <c r="BN172" s="124"/>
      <c r="BO172" s="124"/>
      <c r="BP172" s="124"/>
      <c r="BQ172" s="124"/>
      <c r="BR172" s="124"/>
      <c r="BS172" s="117">
        <v>200</v>
      </c>
      <c r="BT172" s="117" t="s">
        <v>946</v>
      </c>
      <c r="BU172" s="117" t="s">
        <v>932</v>
      </c>
      <c r="BV172" s="117">
        <v>102</v>
      </c>
      <c r="BW172" s="117" t="s">
        <v>1793</v>
      </c>
      <c r="BX172" s="117">
        <v>6.05</v>
      </c>
      <c r="BY172" s="117" t="s">
        <v>1443</v>
      </c>
      <c r="BZ172" s="124"/>
      <c r="CA172" s="124"/>
      <c r="CB172" s="117" t="s">
        <v>932</v>
      </c>
      <c r="CC172" s="117" t="s">
        <v>190</v>
      </c>
      <c r="CD172" s="117" t="s">
        <v>932</v>
      </c>
      <c r="CE172" s="117" t="s">
        <v>932</v>
      </c>
      <c r="CF172" s="117">
        <v>29</v>
      </c>
      <c r="CG172" s="117">
        <v>0</v>
      </c>
      <c r="CH172" s="117" t="s">
        <v>932</v>
      </c>
      <c r="CI172" s="117" t="s">
        <v>932</v>
      </c>
    </row>
    <row r="173" spans="1:87" s="117" customFormat="1" ht="25.5">
      <c r="A173" s="114">
        <v>41743.425127314818</v>
      </c>
      <c r="B173" s="115">
        <v>41743.425127314818</v>
      </c>
      <c r="C173" s="114">
        <v>41743.425127314818</v>
      </c>
      <c r="D173" s="115">
        <v>41743.425127314818</v>
      </c>
      <c r="E173" s="116" t="s">
        <v>1794</v>
      </c>
      <c r="F173" s="122" t="s">
        <v>1795</v>
      </c>
      <c r="G173" s="117" t="s">
        <v>1786</v>
      </c>
      <c r="H173" s="124"/>
      <c r="I173" s="117" t="s">
        <v>1796</v>
      </c>
      <c r="J173" s="118" t="s">
        <v>998</v>
      </c>
      <c r="K173" s="117" t="s">
        <v>1649</v>
      </c>
      <c r="L173" s="117" t="s">
        <v>931</v>
      </c>
      <c r="M173" s="117" t="s">
        <v>932</v>
      </c>
      <c r="N173" s="117" t="s">
        <v>932</v>
      </c>
      <c r="O173" s="117" t="s">
        <v>932</v>
      </c>
      <c r="P173" s="117" t="s">
        <v>932</v>
      </c>
      <c r="Q173" s="117" t="s">
        <v>932</v>
      </c>
      <c r="R173" s="117" t="s">
        <v>932</v>
      </c>
      <c r="S173" s="117" t="s">
        <v>932</v>
      </c>
      <c r="T173" s="119" t="s">
        <v>932</v>
      </c>
      <c r="U173" s="117" t="s">
        <v>932</v>
      </c>
      <c r="V173" s="117" t="s">
        <v>934</v>
      </c>
      <c r="W173" s="117" t="s">
        <v>934</v>
      </c>
      <c r="X173" s="117" t="s">
        <v>934</v>
      </c>
      <c r="Y173" s="117" t="s">
        <v>934</v>
      </c>
      <c r="Z173" s="117" t="s">
        <v>934</v>
      </c>
      <c r="AA173" s="117" t="s">
        <v>934</v>
      </c>
      <c r="AB173" s="117" t="s">
        <v>934</v>
      </c>
      <c r="AC173" s="117" t="s">
        <v>934</v>
      </c>
      <c r="AD173" s="117" t="s">
        <v>934</v>
      </c>
      <c r="AE173" s="117" t="s">
        <v>934</v>
      </c>
      <c r="AF173" s="117" t="s">
        <v>934</v>
      </c>
      <c r="AG173" s="117" t="s">
        <v>934</v>
      </c>
      <c r="AH173" s="117" t="s">
        <v>934</v>
      </c>
      <c r="AI173" s="117" t="s">
        <v>934</v>
      </c>
      <c r="AJ173" s="117" t="s">
        <v>1797</v>
      </c>
      <c r="AK173" s="117" t="s">
        <v>1630</v>
      </c>
      <c r="AL173" s="117" t="s">
        <v>943</v>
      </c>
      <c r="AM173" s="117" t="s">
        <v>1652</v>
      </c>
      <c r="AN173" s="117" t="s">
        <v>932</v>
      </c>
      <c r="AO173" s="124"/>
      <c r="AP173" s="117" t="s">
        <v>981</v>
      </c>
      <c r="AQ173" s="117">
        <v>1680</v>
      </c>
      <c r="AR173" s="117" t="s">
        <v>1652</v>
      </c>
      <c r="AS173" s="117" t="s">
        <v>943</v>
      </c>
      <c r="AT173" s="117" t="s">
        <v>933</v>
      </c>
      <c r="AU173" s="117" t="s">
        <v>933</v>
      </c>
      <c r="AV173" s="117" t="s">
        <v>933</v>
      </c>
      <c r="AW173" s="117">
        <v>16.399999999999999</v>
      </c>
      <c r="AX173" s="117" t="s">
        <v>932</v>
      </c>
      <c r="AY173" s="117">
        <v>1.4</v>
      </c>
      <c r="AZ173" s="117">
        <v>0.4</v>
      </c>
      <c r="BA173" s="117" t="s">
        <v>932</v>
      </c>
      <c r="BB173" s="117" t="s">
        <v>932</v>
      </c>
      <c r="BC173" s="117" t="s">
        <v>932</v>
      </c>
      <c r="BD173" s="117" t="s">
        <v>932</v>
      </c>
      <c r="BE173" s="117" t="s">
        <v>932</v>
      </c>
      <c r="BF173" s="117">
        <v>1</v>
      </c>
      <c r="BG173" s="117" t="s">
        <v>932</v>
      </c>
      <c r="BH173" s="117">
        <v>15</v>
      </c>
      <c r="BI173" s="117" t="s">
        <v>1798</v>
      </c>
      <c r="BJ173" s="117" t="s">
        <v>932</v>
      </c>
      <c r="BK173" s="124"/>
      <c r="BL173" s="124"/>
      <c r="BM173" s="117" t="s">
        <v>932</v>
      </c>
      <c r="BN173" s="124"/>
      <c r="BO173" s="117" t="s">
        <v>932</v>
      </c>
      <c r="BP173" s="117">
        <v>1</v>
      </c>
      <c r="BQ173" s="117" t="s">
        <v>932</v>
      </c>
      <c r="BR173" s="124"/>
      <c r="BS173" s="117">
        <v>100</v>
      </c>
      <c r="BT173" s="117" t="s">
        <v>946</v>
      </c>
      <c r="BU173" s="124"/>
      <c r="BV173" s="117" t="s">
        <v>1796</v>
      </c>
      <c r="BW173" s="117" t="s">
        <v>1799</v>
      </c>
      <c r="BX173" s="117">
        <v>6.05</v>
      </c>
      <c r="BY173" s="117" t="s">
        <v>1443</v>
      </c>
      <c r="BZ173" s="124"/>
      <c r="CA173" s="124"/>
      <c r="CB173" s="117" t="s">
        <v>932</v>
      </c>
      <c r="CC173" s="117" t="s">
        <v>190</v>
      </c>
      <c r="CD173" s="117" t="s">
        <v>932</v>
      </c>
      <c r="CE173" s="117" t="s">
        <v>932</v>
      </c>
      <c r="CF173" s="117">
        <v>28</v>
      </c>
      <c r="CG173" s="117">
        <v>0.8</v>
      </c>
      <c r="CH173" s="117" t="s">
        <v>932</v>
      </c>
      <c r="CI173" s="117" t="s">
        <v>932</v>
      </c>
    </row>
    <row r="174" spans="1:87" s="117" customFormat="1" ht="25.5">
      <c r="A174" s="114">
        <v>41743.453923611109</v>
      </c>
      <c r="B174" s="115">
        <v>41743.453923611109</v>
      </c>
      <c r="C174" s="114">
        <v>41743.453935185185</v>
      </c>
      <c r="D174" s="115">
        <v>41743.453935185185</v>
      </c>
      <c r="E174" s="116" t="s">
        <v>1800</v>
      </c>
      <c r="F174" s="122" t="s">
        <v>1801</v>
      </c>
      <c r="G174" s="117" t="s">
        <v>1802</v>
      </c>
      <c r="H174" s="124"/>
      <c r="I174" s="124"/>
      <c r="J174" s="118" t="s">
        <v>1803</v>
      </c>
      <c r="K174" s="117" t="s">
        <v>1804</v>
      </c>
      <c r="L174" s="117" t="s">
        <v>931</v>
      </c>
      <c r="M174" s="124"/>
      <c r="N174" s="124"/>
      <c r="O174" s="124"/>
      <c r="P174" s="124"/>
      <c r="Q174" s="124"/>
      <c r="R174" s="124"/>
      <c r="S174" s="124"/>
      <c r="T174" s="124"/>
      <c r="U174" s="124"/>
      <c r="V174" s="124"/>
      <c r="W174" s="124"/>
      <c r="X174" s="124"/>
      <c r="Y174" s="124"/>
      <c r="Z174" s="124"/>
      <c r="AA174" s="124"/>
      <c r="AB174" s="124"/>
      <c r="AC174" s="124"/>
      <c r="AD174" s="124"/>
      <c r="AE174" s="124"/>
      <c r="AF174" s="124"/>
      <c r="AG174" s="124"/>
      <c r="AH174" s="124"/>
      <c r="AI174" s="124"/>
      <c r="AJ174" s="124"/>
      <c r="AK174" s="117" t="s">
        <v>1805</v>
      </c>
      <c r="AL174" s="117" t="s">
        <v>1722</v>
      </c>
      <c r="AM174" s="117" t="s">
        <v>1744</v>
      </c>
      <c r="AN174" s="117" t="s">
        <v>932</v>
      </c>
      <c r="AO174" s="124"/>
      <c r="AP174" s="117" t="s">
        <v>1735</v>
      </c>
      <c r="AQ174" s="117">
        <v>1680</v>
      </c>
      <c r="AR174" s="117" t="s">
        <v>1744</v>
      </c>
      <c r="AS174" s="117" t="s">
        <v>1722</v>
      </c>
      <c r="AT174" s="124"/>
      <c r="AU174" s="117" t="s">
        <v>933</v>
      </c>
      <c r="AV174" s="117" t="s">
        <v>932</v>
      </c>
      <c r="AW174" s="117">
        <v>4.3</v>
      </c>
      <c r="AX174" s="117" t="s">
        <v>932</v>
      </c>
      <c r="AY174" s="117">
        <v>4.3</v>
      </c>
      <c r="AZ174" s="117">
        <v>0.2</v>
      </c>
      <c r="BA174" s="117" t="s">
        <v>932</v>
      </c>
      <c r="BB174" s="117" t="s">
        <v>932</v>
      </c>
      <c r="BC174" s="117" t="s">
        <v>932</v>
      </c>
      <c r="BD174" s="117" t="s">
        <v>932</v>
      </c>
      <c r="BE174" s="117" t="s">
        <v>932</v>
      </c>
      <c r="BF174" s="117">
        <v>1</v>
      </c>
      <c r="BG174" s="124"/>
      <c r="BH174" s="117">
        <v>15</v>
      </c>
      <c r="BI174" s="117" t="s">
        <v>1751</v>
      </c>
      <c r="BJ174" s="117" t="s">
        <v>932</v>
      </c>
      <c r="BK174" s="117" t="s">
        <v>932</v>
      </c>
      <c r="BL174" s="117">
        <v>1</v>
      </c>
      <c r="BM174" s="117" t="s">
        <v>932</v>
      </c>
      <c r="BN174" s="117" t="s">
        <v>932</v>
      </c>
      <c r="BO174" s="117" t="s">
        <v>932</v>
      </c>
      <c r="BP174" s="117">
        <v>1</v>
      </c>
      <c r="BQ174" s="124"/>
      <c r="BR174" s="124"/>
      <c r="BS174" s="117">
        <v>20</v>
      </c>
      <c r="BT174" s="124"/>
      <c r="BU174" s="124"/>
      <c r="BV174" s="124"/>
      <c r="BW174" s="124"/>
      <c r="BX174" s="124"/>
      <c r="BY174" s="124"/>
      <c r="BZ174" s="124"/>
      <c r="CA174" s="124"/>
      <c r="CB174" s="124"/>
      <c r="CC174" s="124"/>
      <c r="CD174" s="117" t="s">
        <v>932</v>
      </c>
      <c r="CE174" s="117" t="s">
        <v>932</v>
      </c>
      <c r="CF174" s="117">
        <v>31</v>
      </c>
      <c r="CG174" s="117">
        <v>0</v>
      </c>
      <c r="CH174" s="117" t="s">
        <v>932</v>
      </c>
      <c r="CI174" s="117" t="s">
        <v>932</v>
      </c>
    </row>
    <row r="175" spans="1:87" s="117" customFormat="1" ht="25.5">
      <c r="A175" s="114">
        <v>41743.456388888888</v>
      </c>
      <c r="B175" s="115">
        <v>41743.456388888888</v>
      </c>
      <c r="C175" s="114">
        <v>41743.576678240737</v>
      </c>
      <c r="D175" s="115">
        <v>41743.576678240737</v>
      </c>
      <c r="E175" s="116" t="s">
        <v>1806</v>
      </c>
      <c r="F175" s="122" t="s">
        <v>1807</v>
      </c>
      <c r="G175" s="117" t="s">
        <v>1808</v>
      </c>
      <c r="H175" s="124"/>
      <c r="I175" s="117">
        <v>133</v>
      </c>
      <c r="J175" s="118" t="s">
        <v>1718</v>
      </c>
      <c r="K175" s="117" t="s">
        <v>1809</v>
      </c>
      <c r="L175" s="117" t="s">
        <v>931</v>
      </c>
      <c r="M175" s="117" t="s">
        <v>932</v>
      </c>
      <c r="N175" s="117" t="s">
        <v>932</v>
      </c>
      <c r="O175" s="117" t="s">
        <v>932</v>
      </c>
      <c r="P175" s="117" t="s">
        <v>932</v>
      </c>
      <c r="Q175" s="117" t="s">
        <v>934</v>
      </c>
      <c r="R175" s="117" t="s">
        <v>932</v>
      </c>
      <c r="S175" s="117" t="s">
        <v>932</v>
      </c>
      <c r="T175" s="119" t="s">
        <v>932</v>
      </c>
      <c r="U175" s="117" t="s">
        <v>932</v>
      </c>
      <c r="V175" s="117" t="s">
        <v>934</v>
      </c>
      <c r="W175" s="117" t="s">
        <v>934</v>
      </c>
      <c r="X175" s="117" t="s">
        <v>934</v>
      </c>
      <c r="Y175" s="117" t="s">
        <v>934</v>
      </c>
      <c r="Z175" s="117" t="s">
        <v>934</v>
      </c>
      <c r="AA175" s="117" t="s">
        <v>934</v>
      </c>
      <c r="AB175" s="117" t="s">
        <v>934</v>
      </c>
      <c r="AC175" s="117" t="s">
        <v>934</v>
      </c>
      <c r="AD175" s="117" t="s">
        <v>934</v>
      </c>
      <c r="AE175" s="117" t="s">
        <v>934</v>
      </c>
      <c r="AF175" s="117" t="s">
        <v>934</v>
      </c>
      <c r="AG175" s="117" t="s">
        <v>934</v>
      </c>
      <c r="AH175" s="117" t="s">
        <v>934</v>
      </c>
      <c r="AI175" s="117" t="s">
        <v>934</v>
      </c>
      <c r="AJ175" s="117" t="s">
        <v>1722</v>
      </c>
      <c r="AK175" s="117" t="s">
        <v>1810</v>
      </c>
      <c r="AL175" s="117" t="s">
        <v>1722</v>
      </c>
      <c r="AM175" s="117" t="s">
        <v>1723</v>
      </c>
      <c r="AN175" s="117" t="s">
        <v>932</v>
      </c>
      <c r="AO175" s="124"/>
      <c r="AP175" s="117" t="s">
        <v>1182</v>
      </c>
      <c r="AQ175" s="117">
        <v>1680</v>
      </c>
      <c r="AR175" s="117" t="s">
        <v>1723</v>
      </c>
      <c r="AS175" s="117" t="s">
        <v>1722</v>
      </c>
      <c r="AT175" s="117" t="s">
        <v>933</v>
      </c>
      <c r="AU175" s="117" t="s">
        <v>933</v>
      </c>
      <c r="AV175" s="117" t="s">
        <v>933</v>
      </c>
      <c r="AW175" s="117" t="s">
        <v>1811</v>
      </c>
      <c r="AX175" s="117" t="s">
        <v>933</v>
      </c>
      <c r="AY175" s="117" t="s">
        <v>1811</v>
      </c>
      <c r="AZ175" s="117">
        <v>14.2</v>
      </c>
      <c r="BA175" s="117" t="s">
        <v>932</v>
      </c>
      <c r="BB175" s="117" t="s">
        <v>932</v>
      </c>
      <c r="BC175" s="117" t="s">
        <v>932</v>
      </c>
      <c r="BD175" s="117" t="s">
        <v>932</v>
      </c>
      <c r="BE175" s="117" t="s">
        <v>932</v>
      </c>
      <c r="BF175" s="117">
        <v>0</v>
      </c>
      <c r="BG175" s="124"/>
      <c r="BH175" s="117">
        <v>15</v>
      </c>
      <c r="BI175" s="117" t="s">
        <v>1812</v>
      </c>
      <c r="BJ175" s="117" t="s">
        <v>932</v>
      </c>
      <c r="BK175" s="124"/>
      <c r="BL175" s="117">
        <v>1</v>
      </c>
      <c r="BM175" s="117" t="s">
        <v>932</v>
      </c>
      <c r="BN175" s="117" t="s">
        <v>932</v>
      </c>
      <c r="BO175" s="117" t="s">
        <v>932</v>
      </c>
      <c r="BP175" s="117">
        <v>0</v>
      </c>
      <c r="BQ175" s="124"/>
      <c r="BR175" s="124"/>
      <c r="BS175" s="117">
        <v>250</v>
      </c>
      <c r="BT175" s="117" t="s">
        <v>1737</v>
      </c>
      <c r="BU175" s="124"/>
      <c r="BV175" s="117">
        <v>133</v>
      </c>
      <c r="BW175" s="117" t="s">
        <v>1813</v>
      </c>
      <c r="BX175" s="117">
        <v>6.05</v>
      </c>
      <c r="BY175" s="117" t="s">
        <v>1442</v>
      </c>
      <c r="BZ175" s="124"/>
      <c r="CA175" s="124"/>
      <c r="CB175" s="117" t="s">
        <v>932</v>
      </c>
      <c r="CC175" s="117" t="s">
        <v>190</v>
      </c>
      <c r="CD175" s="117" t="s">
        <v>932</v>
      </c>
      <c r="CE175" s="117" t="s">
        <v>932</v>
      </c>
      <c r="CF175" s="117">
        <v>28</v>
      </c>
      <c r="CG175" s="117">
        <v>0</v>
      </c>
      <c r="CH175" s="117" t="s">
        <v>932</v>
      </c>
      <c r="CI175" s="117" t="s">
        <v>932</v>
      </c>
    </row>
    <row r="176" spans="1:87" s="117" customFormat="1" ht="25.5">
      <c r="A176" s="114">
        <v>41743.464444444442</v>
      </c>
      <c r="B176" s="115">
        <v>41743.464444444442</v>
      </c>
      <c r="C176" s="114">
        <v>41743.464444444442</v>
      </c>
      <c r="D176" s="115">
        <v>41743.464444444442</v>
      </c>
      <c r="E176" s="116" t="s">
        <v>1814</v>
      </c>
      <c r="F176" s="122" t="s">
        <v>1815</v>
      </c>
      <c r="G176" s="117" t="s">
        <v>1816</v>
      </c>
      <c r="H176" s="124"/>
      <c r="I176" s="117">
        <v>114</v>
      </c>
      <c r="J176" s="118" t="s">
        <v>1728</v>
      </c>
      <c r="K176" s="117" t="s">
        <v>1742</v>
      </c>
      <c r="L176" s="117" t="s">
        <v>931</v>
      </c>
      <c r="M176" s="117" t="s">
        <v>932</v>
      </c>
      <c r="N176" s="117" t="s">
        <v>932</v>
      </c>
      <c r="O176" s="117" t="s">
        <v>932</v>
      </c>
      <c r="P176" s="117" t="s">
        <v>932</v>
      </c>
      <c r="Q176" s="117" t="s">
        <v>932</v>
      </c>
      <c r="R176" s="117" t="s">
        <v>932</v>
      </c>
      <c r="S176" s="117" t="s">
        <v>932</v>
      </c>
      <c r="T176" s="119" t="s">
        <v>932</v>
      </c>
      <c r="U176" s="117" t="s">
        <v>932</v>
      </c>
      <c r="V176" s="117" t="s">
        <v>934</v>
      </c>
      <c r="W176" s="117" t="s">
        <v>934</v>
      </c>
      <c r="X176" s="117" t="s">
        <v>934</v>
      </c>
      <c r="Y176" s="117" t="s">
        <v>934</v>
      </c>
      <c r="Z176" s="117" t="s">
        <v>934</v>
      </c>
      <c r="AA176" s="117" t="s">
        <v>934</v>
      </c>
      <c r="AB176" s="117" t="s">
        <v>934</v>
      </c>
      <c r="AC176" s="117" t="s">
        <v>934</v>
      </c>
      <c r="AD176" s="117" t="s">
        <v>934</v>
      </c>
      <c r="AE176" s="117" t="s">
        <v>934</v>
      </c>
      <c r="AF176" s="117" t="s">
        <v>934</v>
      </c>
      <c r="AG176" s="117" t="s">
        <v>934</v>
      </c>
      <c r="AH176" s="117" t="s">
        <v>934</v>
      </c>
      <c r="AI176" s="117" t="s">
        <v>934</v>
      </c>
      <c r="AJ176" s="117" t="s">
        <v>1817</v>
      </c>
      <c r="AK176" s="117" t="s">
        <v>1818</v>
      </c>
      <c r="AL176" s="117" t="s">
        <v>1722</v>
      </c>
      <c r="AM176" s="117" t="s">
        <v>1744</v>
      </c>
      <c r="AN176" s="117" t="s">
        <v>951</v>
      </c>
      <c r="AO176" s="124"/>
      <c r="AP176" s="124"/>
      <c r="AQ176" s="124"/>
      <c r="AR176" s="124"/>
      <c r="AS176" s="124"/>
      <c r="AT176" s="124"/>
      <c r="AU176" s="124"/>
      <c r="AV176" s="124"/>
      <c r="AW176" s="124"/>
      <c r="AX176" s="124"/>
      <c r="AY176" s="124"/>
      <c r="AZ176" s="124"/>
      <c r="BA176" s="124"/>
      <c r="BB176" s="124"/>
      <c r="BC176" s="124"/>
      <c r="BD176" s="124"/>
      <c r="BE176" s="124"/>
      <c r="BF176" s="124"/>
      <c r="BG176" s="124"/>
      <c r="BH176" s="124"/>
      <c r="BI176" s="124"/>
      <c r="BJ176" s="124"/>
      <c r="BK176" s="124"/>
      <c r="BL176" s="124"/>
      <c r="BM176" s="124"/>
      <c r="BN176" s="124"/>
      <c r="BO176" s="124"/>
      <c r="BP176" s="124"/>
      <c r="BQ176" s="124"/>
      <c r="BR176" s="124"/>
      <c r="BS176" s="124"/>
      <c r="BT176" s="124"/>
      <c r="BU176" s="124"/>
      <c r="BV176" s="124"/>
      <c r="BW176" s="124"/>
      <c r="BX176" s="124"/>
      <c r="BY176" s="124"/>
      <c r="BZ176" s="124"/>
      <c r="CA176" s="124"/>
      <c r="CB176" s="124"/>
      <c r="CC176" s="124"/>
      <c r="CD176" s="124"/>
      <c r="CE176" s="124"/>
      <c r="CF176" s="124"/>
      <c r="CG176" s="124"/>
      <c r="CH176" s="124"/>
      <c r="CI176" s="124"/>
    </row>
    <row r="177" spans="1:87" s="117" customFormat="1" ht="25.5">
      <c r="A177" s="114">
        <v>41743.466967592591</v>
      </c>
      <c r="B177" s="115">
        <v>41743.466967592591</v>
      </c>
      <c r="C177" s="114">
        <v>41743.607708333337</v>
      </c>
      <c r="D177" s="115">
        <v>41743.607708333337</v>
      </c>
      <c r="E177" s="116" t="s">
        <v>1819</v>
      </c>
      <c r="F177" s="122" t="s">
        <v>1820</v>
      </c>
      <c r="G177" s="117" t="s">
        <v>1808</v>
      </c>
      <c r="H177" s="124"/>
      <c r="I177" s="117">
        <v>113</v>
      </c>
      <c r="J177" s="118" t="s">
        <v>1718</v>
      </c>
      <c r="K177" s="117" t="s">
        <v>1809</v>
      </c>
      <c r="L177" s="117" t="s">
        <v>931</v>
      </c>
      <c r="M177" s="117" t="s">
        <v>932</v>
      </c>
      <c r="N177" s="117" t="s">
        <v>932</v>
      </c>
      <c r="O177" s="117" t="s">
        <v>932</v>
      </c>
      <c r="P177" s="117" t="s">
        <v>933</v>
      </c>
      <c r="Q177" s="117" t="s">
        <v>934</v>
      </c>
      <c r="R177" s="117" t="s">
        <v>932</v>
      </c>
      <c r="S177" s="117" t="s">
        <v>932</v>
      </c>
      <c r="T177" s="119" t="s">
        <v>932</v>
      </c>
      <c r="U177" s="117" t="s">
        <v>932</v>
      </c>
      <c r="V177" s="117" t="s">
        <v>932</v>
      </c>
      <c r="W177" s="117" t="s">
        <v>934</v>
      </c>
      <c r="X177" s="117" t="s">
        <v>934</v>
      </c>
      <c r="Y177" s="117" t="s">
        <v>934</v>
      </c>
      <c r="Z177" s="117" t="s">
        <v>934</v>
      </c>
      <c r="AA177" s="117" t="s">
        <v>934</v>
      </c>
      <c r="AB177" s="117" t="s">
        <v>934</v>
      </c>
      <c r="AC177" s="117" t="s">
        <v>934</v>
      </c>
      <c r="AD177" s="117" t="s">
        <v>934</v>
      </c>
      <c r="AE177" s="117" t="s">
        <v>934</v>
      </c>
      <c r="AF177" s="117" t="s">
        <v>934</v>
      </c>
      <c r="AG177" s="117" t="s">
        <v>934</v>
      </c>
      <c r="AH177" s="117" t="s">
        <v>934</v>
      </c>
      <c r="AI177" s="117" t="s">
        <v>934</v>
      </c>
      <c r="AJ177" s="117" t="s">
        <v>943</v>
      </c>
      <c r="AK177" s="117" t="s">
        <v>1818</v>
      </c>
      <c r="AL177" s="117" t="s">
        <v>1722</v>
      </c>
      <c r="AM177" s="117" t="s">
        <v>992</v>
      </c>
      <c r="AN177" s="117" t="s">
        <v>932</v>
      </c>
      <c r="AO177" s="124"/>
      <c r="AP177" s="117" t="s">
        <v>1182</v>
      </c>
      <c r="AQ177" s="117">
        <v>1680</v>
      </c>
      <c r="AR177" s="117" t="s">
        <v>1744</v>
      </c>
      <c r="AS177" s="117" t="s">
        <v>1722</v>
      </c>
      <c r="AT177" s="117" t="s">
        <v>933</v>
      </c>
      <c r="AU177" s="117" t="s">
        <v>933</v>
      </c>
      <c r="AV177" s="117" t="s">
        <v>933</v>
      </c>
      <c r="AW177" s="117" t="s">
        <v>1811</v>
      </c>
      <c r="AX177" s="117" t="s">
        <v>933</v>
      </c>
      <c r="AY177" s="117" t="s">
        <v>944</v>
      </c>
      <c r="AZ177" s="117">
        <v>32.5</v>
      </c>
      <c r="BA177" s="124"/>
      <c r="BB177" s="117" t="s">
        <v>933</v>
      </c>
      <c r="BC177" s="124"/>
      <c r="BD177" s="124"/>
      <c r="BE177" s="124"/>
      <c r="BF177" s="124"/>
      <c r="BG177" s="124"/>
      <c r="BH177" s="117" t="s">
        <v>956</v>
      </c>
      <c r="BI177" s="117" t="s">
        <v>1707</v>
      </c>
      <c r="BJ177" s="117" t="s">
        <v>932</v>
      </c>
      <c r="BK177" s="124"/>
      <c r="BL177" s="117" t="s">
        <v>956</v>
      </c>
      <c r="BM177" s="124"/>
      <c r="BN177" s="124"/>
      <c r="BO177" s="124"/>
      <c r="BP177" s="124"/>
      <c r="BQ177" s="124"/>
      <c r="BR177" s="124"/>
      <c r="BS177" s="117">
        <v>50</v>
      </c>
      <c r="BT177" s="117" t="s">
        <v>1737</v>
      </c>
      <c r="BU177" s="117" t="s">
        <v>932</v>
      </c>
      <c r="BV177" s="117">
        <v>113</v>
      </c>
      <c r="BW177" s="117" t="s">
        <v>1821</v>
      </c>
      <c r="BX177" s="117">
        <v>6.05</v>
      </c>
      <c r="BY177" s="117" t="s">
        <v>190</v>
      </c>
      <c r="BZ177" s="124"/>
      <c r="CA177" s="124"/>
      <c r="CB177" s="117" t="s">
        <v>932</v>
      </c>
      <c r="CC177" s="117" t="s">
        <v>1442</v>
      </c>
      <c r="CD177" s="117" t="s">
        <v>932</v>
      </c>
      <c r="CE177" s="117" t="s">
        <v>932</v>
      </c>
      <c r="CF177" s="117">
        <v>30</v>
      </c>
      <c r="CG177" s="117">
        <v>0</v>
      </c>
      <c r="CH177" s="117" t="s">
        <v>932</v>
      </c>
      <c r="CI177" s="117" t="s">
        <v>932</v>
      </c>
    </row>
    <row r="178" spans="1:87" s="117" customFormat="1" ht="42">
      <c r="A178" s="114">
        <v>41743.47383101852</v>
      </c>
      <c r="B178" s="115">
        <v>41743.47383101852</v>
      </c>
      <c r="C178" s="114">
        <v>41743.672407407408</v>
      </c>
      <c r="D178" s="115">
        <v>41743.672407407408</v>
      </c>
      <c r="E178" s="116" t="s">
        <v>1822</v>
      </c>
      <c r="F178" s="122" t="s">
        <v>1823</v>
      </c>
      <c r="G178" s="117" t="s">
        <v>1677</v>
      </c>
      <c r="H178" s="124"/>
      <c r="I178" s="117">
        <v>405</v>
      </c>
      <c r="J178" s="118" t="s">
        <v>998</v>
      </c>
      <c r="K178" s="117" t="s">
        <v>1824</v>
      </c>
      <c r="L178" s="117" t="s">
        <v>931</v>
      </c>
      <c r="M178" s="117" t="s">
        <v>932</v>
      </c>
      <c r="N178" s="117" t="s">
        <v>932</v>
      </c>
      <c r="O178" s="117" t="s">
        <v>932</v>
      </c>
      <c r="P178" s="117" t="s">
        <v>932</v>
      </c>
      <c r="Q178" s="117" t="s">
        <v>934</v>
      </c>
      <c r="R178" s="117" t="s">
        <v>932</v>
      </c>
      <c r="S178" s="117" t="s">
        <v>932</v>
      </c>
      <c r="T178" s="119" t="s">
        <v>932</v>
      </c>
      <c r="U178" s="117" t="s">
        <v>932</v>
      </c>
      <c r="V178" s="117" t="s">
        <v>932</v>
      </c>
      <c r="W178" s="117" t="s">
        <v>932</v>
      </c>
      <c r="X178" s="117" t="s">
        <v>934</v>
      </c>
      <c r="Y178" s="117" t="s">
        <v>934</v>
      </c>
      <c r="Z178" s="117" t="s">
        <v>934</v>
      </c>
      <c r="AA178" s="117" t="s">
        <v>934</v>
      </c>
      <c r="AB178" s="117" t="s">
        <v>934</v>
      </c>
      <c r="AC178" s="117" t="s">
        <v>934</v>
      </c>
      <c r="AD178" s="117" t="s">
        <v>934</v>
      </c>
      <c r="AE178" s="117" t="s">
        <v>934</v>
      </c>
      <c r="AF178" s="117" t="s">
        <v>934</v>
      </c>
      <c r="AG178" s="117" t="s">
        <v>934</v>
      </c>
      <c r="AH178" s="117" t="s">
        <v>934</v>
      </c>
      <c r="AI178" s="117" t="s">
        <v>934</v>
      </c>
      <c r="AJ178" s="117" t="s">
        <v>943</v>
      </c>
      <c r="AK178" s="117" t="s">
        <v>1779</v>
      </c>
      <c r="AL178" s="117" t="s">
        <v>943</v>
      </c>
      <c r="AM178" s="117" t="s">
        <v>992</v>
      </c>
      <c r="AN178" s="117" t="s">
        <v>932</v>
      </c>
      <c r="AO178" s="124"/>
      <c r="AP178" s="117" t="s">
        <v>1724</v>
      </c>
      <c r="AQ178" s="124"/>
      <c r="AR178" s="117" t="s">
        <v>992</v>
      </c>
      <c r="AS178" s="117" t="s">
        <v>943</v>
      </c>
      <c r="AT178" s="117" t="s">
        <v>932</v>
      </c>
      <c r="AU178" s="117" t="s">
        <v>932</v>
      </c>
      <c r="AV178" s="124"/>
      <c r="AW178" s="117" t="s">
        <v>944</v>
      </c>
      <c r="AX178" s="124"/>
      <c r="AY178" s="117" t="s">
        <v>944</v>
      </c>
      <c r="AZ178" s="117">
        <v>14.2</v>
      </c>
      <c r="BA178" s="117" t="s">
        <v>932</v>
      </c>
      <c r="BB178" s="117" t="s">
        <v>932</v>
      </c>
      <c r="BC178" s="117" t="s">
        <v>932</v>
      </c>
      <c r="BD178" s="117" t="s">
        <v>932</v>
      </c>
      <c r="BE178" s="117" t="s">
        <v>932</v>
      </c>
      <c r="BF178" s="117">
        <v>2</v>
      </c>
      <c r="BG178" s="124"/>
      <c r="BH178" s="117">
        <v>15</v>
      </c>
      <c r="BI178" s="117" t="s">
        <v>1707</v>
      </c>
      <c r="BJ178" s="117" t="s">
        <v>932</v>
      </c>
      <c r="BK178" s="117" t="s">
        <v>932</v>
      </c>
      <c r="BL178" s="117">
        <v>1</v>
      </c>
      <c r="BM178" s="117" t="s">
        <v>932</v>
      </c>
      <c r="BN178" s="117" t="s">
        <v>932</v>
      </c>
      <c r="BO178" s="117" t="s">
        <v>932</v>
      </c>
      <c r="BP178" s="117">
        <v>2</v>
      </c>
      <c r="BQ178" s="124"/>
      <c r="BR178" s="124"/>
      <c r="BS178" s="117">
        <v>600</v>
      </c>
      <c r="BT178" s="117" t="s">
        <v>946</v>
      </c>
      <c r="BU178" s="117" t="s">
        <v>932</v>
      </c>
      <c r="BV178" s="117">
        <v>405</v>
      </c>
      <c r="BW178" s="117" t="s">
        <v>1825</v>
      </c>
      <c r="BX178" s="117">
        <v>6.05</v>
      </c>
      <c r="BY178" s="117" t="s">
        <v>190</v>
      </c>
      <c r="BZ178" s="124"/>
      <c r="CA178" s="124"/>
      <c r="CB178" s="117" t="s">
        <v>932</v>
      </c>
      <c r="CC178" s="117" t="s">
        <v>1443</v>
      </c>
      <c r="CD178" s="117" t="s">
        <v>932</v>
      </c>
      <c r="CE178" s="117" t="s">
        <v>932</v>
      </c>
      <c r="CF178" s="117">
        <v>30</v>
      </c>
      <c r="CG178" s="117">
        <v>1.5</v>
      </c>
      <c r="CH178" s="117" t="s">
        <v>932</v>
      </c>
      <c r="CI178" s="117" t="s">
        <v>932</v>
      </c>
    </row>
    <row r="179" spans="1:87" s="117" customFormat="1" ht="25.5">
      <c r="A179" s="114">
        <v>41743.538113425922</v>
      </c>
      <c r="B179" s="124"/>
      <c r="C179" s="114">
        <v>41743.635312500002</v>
      </c>
      <c r="D179" s="115">
        <v>41743.635312500002</v>
      </c>
      <c r="E179" s="116" t="s">
        <v>1826</v>
      </c>
      <c r="F179" s="122" t="s">
        <v>1795</v>
      </c>
      <c r="G179" s="117" t="s">
        <v>1762</v>
      </c>
      <c r="H179" s="124"/>
      <c r="I179" s="117" t="s">
        <v>1827</v>
      </c>
      <c r="J179" s="118" t="s">
        <v>1828</v>
      </c>
      <c r="K179" s="117" t="s">
        <v>1829</v>
      </c>
      <c r="L179" s="117" t="s">
        <v>931</v>
      </c>
      <c r="M179" s="117" t="s">
        <v>932</v>
      </c>
      <c r="N179" s="117" t="s">
        <v>932</v>
      </c>
      <c r="O179" s="117" t="s">
        <v>932</v>
      </c>
      <c r="P179" s="117" t="s">
        <v>932</v>
      </c>
      <c r="Q179" s="117" t="s">
        <v>932</v>
      </c>
      <c r="R179" s="117" t="s">
        <v>932</v>
      </c>
      <c r="S179" s="117" t="s">
        <v>932</v>
      </c>
      <c r="T179" s="119" t="s">
        <v>932</v>
      </c>
      <c r="U179" s="117" t="s">
        <v>932</v>
      </c>
      <c r="V179" s="117" t="s">
        <v>932</v>
      </c>
      <c r="W179" s="117" t="s">
        <v>932</v>
      </c>
      <c r="X179" s="117" t="s">
        <v>934</v>
      </c>
      <c r="Y179" s="117" t="s">
        <v>934</v>
      </c>
      <c r="Z179" s="117" t="s">
        <v>934</v>
      </c>
      <c r="AA179" s="117" t="s">
        <v>934</v>
      </c>
      <c r="AB179" s="117" t="s">
        <v>934</v>
      </c>
      <c r="AC179" s="117" t="s">
        <v>934</v>
      </c>
      <c r="AD179" s="117" t="s">
        <v>934</v>
      </c>
      <c r="AE179" s="117" t="s">
        <v>934</v>
      </c>
      <c r="AF179" s="117" t="s">
        <v>934</v>
      </c>
      <c r="AG179" s="117" t="s">
        <v>934</v>
      </c>
      <c r="AH179" s="117" t="s">
        <v>934</v>
      </c>
      <c r="AI179" s="117" t="s">
        <v>934</v>
      </c>
      <c r="AJ179" s="117" t="s">
        <v>943</v>
      </c>
      <c r="AK179" s="117" t="s">
        <v>1830</v>
      </c>
      <c r="AL179" s="117" t="s">
        <v>943</v>
      </c>
      <c r="AM179" s="117" t="s">
        <v>1088</v>
      </c>
      <c r="AN179" s="117" t="s">
        <v>932</v>
      </c>
      <c r="AO179" s="124"/>
      <c r="AP179" s="117" t="s">
        <v>955</v>
      </c>
      <c r="AQ179" s="117" t="s">
        <v>1756</v>
      </c>
      <c r="AR179" s="117" t="s">
        <v>943</v>
      </c>
      <c r="AS179" s="117" t="s">
        <v>943</v>
      </c>
      <c r="AT179" s="117" t="s">
        <v>933</v>
      </c>
      <c r="AU179" s="117" t="s">
        <v>933</v>
      </c>
      <c r="AV179" s="117" t="s">
        <v>933</v>
      </c>
      <c r="AW179" s="117" t="s">
        <v>944</v>
      </c>
      <c r="AX179" s="117" t="s">
        <v>933</v>
      </c>
      <c r="AY179" s="117" t="s">
        <v>944</v>
      </c>
      <c r="AZ179" s="117">
        <v>3.5</v>
      </c>
      <c r="BA179" s="117" t="s">
        <v>932</v>
      </c>
      <c r="BB179" s="117" t="s">
        <v>932</v>
      </c>
      <c r="BC179" s="117" t="s">
        <v>932</v>
      </c>
      <c r="BD179" s="117" t="s">
        <v>932</v>
      </c>
      <c r="BE179" s="117" t="s">
        <v>932</v>
      </c>
      <c r="BF179" s="117">
        <v>1</v>
      </c>
      <c r="BG179" s="117" t="s">
        <v>932</v>
      </c>
      <c r="BH179" s="117">
        <v>15</v>
      </c>
      <c r="BI179" s="117" t="s">
        <v>1831</v>
      </c>
      <c r="BJ179" s="117" t="s">
        <v>932</v>
      </c>
      <c r="BK179" s="117" t="s">
        <v>932</v>
      </c>
      <c r="BL179" s="117">
        <v>1</v>
      </c>
      <c r="BM179" s="117" t="s">
        <v>932</v>
      </c>
      <c r="BN179" s="124"/>
      <c r="BO179" s="124"/>
      <c r="BP179" s="117">
        <v>1</v>
      </c>
      <c r="BQ179" s="117" t="s">
        <v>932</v>
      </c>
      <c r="BR179" s="124"/>
      <c r="BS179" s="117">
        <v>100</v>
      </c>
      <c r="BT179" s="117" t="s">
        <v>1832</v>
      </c>
      <c r="BU179" s="117" t="s">
        <v>932</v>
      </c>
      <c r="BV179" s="117">
        <v>127</v>
      </c>
      <c r="BW179" s="117" t="s">
        <v>1833</v>
      </c>
      <c r="BX179" s="117">
        <v>6.05</v>
      </c>
      <c r="BY179" s="117" t="s">
        <v>190</v>
      </c>
      <c r="BZ179" s="124"/>
      <c r="CA179" s="124"/>
      <c r="CB179" s="117" t="s">
        <v>932</v>
      </c>
      <c r="CC179" s="117" t="s">
        <v>1443</v>
      </c>
      <c r="CD179" s="117" t="s">
        <v>932</v>
      </c>
      <c r="CE179" s="117" t="s">
        <v>932</v>
      </c>
      <c r="CF179" s="117">
        <v>28</v>
      </c>
      <c r="CG179" s="117">
        <v>0.5</v>
      </c>
      <c r="CH179" s="117" t="s">
        <v>932</v>
      </c>
      <c r="CI179" s="117" t="s">
        <v>932</v>
      </c>
    </row>
    <row r="180" spans="1:87" s="117" customFormat="1" ht="25.5">
      <c r="A180" s="114">
        <v>41743.55127314815</v>
      </c>
      <c r="B180" s="115">
        <v>41743.55127314815</v>
      </c>
      <c r="C180" s="114">
        <v>41743.620648148149</v>
      </c>
      <c r="D180" s="115">
        <v>41743.620648148149</v>
      </c>
      <c r="E180" s="116" t="s">
        <v>1834</v>
      </c>
      <c r="F180" s="122" t="s">
        <v>1693</v>
      </c>
      <c r="G180" s="117" t="s">
        <v>1835</v>
      </c>
      <c r="H180" s="124"/>
      <c r="I180" s="117">
        <v>123</v>
      </c>
      <c r="J180" s="118" t="s">
        <v>998</v>
      </c>
      <c r="K180" s="117" t="s">
        <v>1649</v>
      </c>
      <c r="L180" s="117" t="s">
        <v>931</v>
      </c>
      <c r="M180" s="117" t="s">
        <v>932</v>
      </c>
      <c r="N180" s="117" t="s">
        <v>932</v>
      </c>
      <c r="O180" s="117" t="s">
        <v>932</v>
      </c>
      <c r="P180" s="117" t="s">
        <v>932</v>
      </c>
      <c r="Q180" s="117" t="s">
        <v>932</v>
      </c>
      <c r="R180" s="117" t="s">
        <v>932</v>
      </c>
      <c r="S180" s="117" t="s">
        <v>932</v>
      </c>
      <c r="T180" s="119" t="s">
        <v>932</v>
      </c>
      <c r="U180" s="117" t="s">
        <v>932</v>
      </c>
      <c r="V180" s="117" t="s">
        <v>932</v>
      </c>
      <c r="W180" s="117" t="s">
        <v>932</v>
      </c>
      <c r="X180" s="117" t="s">
        <v>934</v>
      </c>
      <c r="Y180" s="117" t="s">
        <v>934</v>
      </c>
      <c r="Z180" s="117" t="s">
        <v>934</v>
      </c>
      <c r="AA180" s="117" t="s">
        <v>932</v>
      </c>
      <c r="AB180" s="117" t="s">
        <v>934</v>
      </c>
      <c r="AC180" s="117" t="s">
        <v>932</v>
      </c>
      <c r="AD180" s="117" t="s">
        <v>934</v>
      </c>
      <c r="AE180" s="117" t="s">
        <v>934</v>
      </c>
      <c r="AF180" s="117" t="s">
        <v>934</v>
      </c>
      <c r="AG180" s="117" t="s">
        <v>934</v>
      </c>
      <c r="AH180" s="117" t="s">
        <v>934</v>
      </c>
      <c r="AI180" s="117" t="s">
        <v>934</v>
      </c>
      <c r="AJ180" s="117" t="s">
        <v>1836</v>
      </c>
      <c r="AK180" s="117" t="s">
        <v>1191</v>
      </c>
      <c r="AL180" s="117" t="s">
        <v>1837</v>
      </c>
      <c r="AM180" s="117" t="s">
        <v>1652</v>
      </c>
      <c r="AN180" s="117" t="s">
        <v>932</v>
      </c>
      <c r="AO180" s="124"/>
      <c r="AP180" s="117" t="s">
        <v>981</v>
      </c>
      <c r="AQ180" s="117">
        <v>1680</v>
      </c>
      <c r="AR180" s="117" t="s">
        <v>1652</v>
      </c>
      <c r="AS180" s="117" t="s">
        <v>943</v>
      </c>
      <c r="AT180" s="117" t="s">
        <v>933</v>
      </c>
      <c r="AU180" s="117" t="s">
        <v>933</v>
      </c>
      <c r="AV180" s="117" t="s">
        <v>932</v>
      </c>
      <c r="AW180" s="117">
        <v>16.8</v>
      </c>
      <c r="AX180" s="117" t="s">
        <v>933</v>
      </c>
      <c r="AY180" s="117" t="s">
        <v>944</v>
      </c>
      <c r="AZ180" s="117">
        <v>116.2</v>
      </c>
      <c r="BA180" s="117" t="s">
        <v>932</v>
      </c>
      <c r="BB180" s="117" t="s">
        <v>932</v>
      </c>
      <c r="BC180" s="117" t="s">
        <v>932</v>
      </c>
      <c r="BD180" s="124"/>
      <c r="BE180" s="117" t="s">
        <v>932</v>
      </c>
      <c r="BF180" s="117">
        <v>1</v>
      </c>
      <c r="BG180" s="124"/>
      <c r="BH180" s="117" t="s">
        <v>1691</v>
      </c>
      <c r="BI180" s="117" t="s">
        <v>1707</v>
      </c>
      <c r="BJ180" s="117" t="s">
        <v>932</v>
      </c>
      <c r="BK180" s="117" t="s">
        <v>933</v>
      </c>
      <c r="BL180" s="117" t="s">
        <v>1082</v>
      </c>
      <c r="BM180" s="117" t="s">
        <v>932</v>
      </c>
      <c r="BN180" s="117" t="s">
        <v>932</v>
      </c>
      <c r="BO180" s="117" t="s">
        <v>932</v>
      </c>
      <c r="BP180" s="117">
        <v>1</v>
      </c>
      <c r="BQ180" s="124"/>
      <c r="BR180" s="124"/>
      <c r="BS180" s="117">
        <v>100</v>
      </c>
      <c r="BT180" s="117" t="s">
        <v>946</v>
      </c>
      <c r="BU180" s="117" t="s">
        <v>932</v>
      </c>
      <c r="BV180" s="117">
        <v>123</v>
      </c>
      <c r="BW180" s="117" t="s">
        <v>1838</v>
      </c>
      <c r="BX180" s="117">
        <v>6.05</v>
      </c>
      <c r="BY180" s="117" t="s">
        <v>190</v>
      </c>
      <c r="BZ180" s="124"/>
      <c r="CA180" s="124"/>
      <c r="CB180" s="117" t="s">
        <v>932</v>
      </c>
      <c r="CC180" s="117" t="s">
        <v>1443</v>
      </c>
      <c r="CD180" s="117" t="s">
        <v>932</v>
      </c>
      <c r="CE180" s="117" t="s">
        <v>932</v>
      </c>
      <c r="CF180" s="117">
        <v>30</v>
      </c>
      <c r="CG180" s="117">
        <v>2</v>
      </c>
      <c r="CH180" s="117" t="s">
        <v>932</v>
      </c>
      <c r="CI180" s="117" t="s">
        <v>932</v>
      </c>
    </row>
    <row r="181" spans="1:87" s="117" customFormat="1" ht="25.5">
      <c r="A181" s="114">
        <v>41743.560150462959</v>
      </c>
      <c r="B181" s="124"/>
      <c r="C181" s="114">
        <v>41743.568148148152</v>
      </c>
      <c r="D181" s="115">
        <v>41743.568148148152</v>
      </c>
      <c r="E181" s="116" t="s">
        <v>1839</v>
      </c>
      <c r="F181" s="122" t="s">
        <v>1740</v>
      </c>
      <c r="G181" s="117" t="s">
        <v>1816</v>
      </c>
      <c r="H181" s="124"/>
      <c r="I181" s="117">
        <v>298</v>
      </c>
      <c r="J181" s="118" t="s">
        <v>1728</v>
      </c>
      <c r="K181" s="117" t="s">
        <v>1742</v>
      </c>
      <c r="L181" s="117" t="s">
        <v>931</v>
      </c>
      <c r="M181" s="117" t="s">
        <v>932</v>
      </c>
      <c r="N181" s="117" t="s">
        <v>932</v>
      </c>
      <c r="O181" s="117" t="s">
        <v>932</v>
      </c>
      <c r="P181" s="117" t="s">
        <v>932</v>
      </c>
      <c r="Q181" s="117" t="s">
        <v>932</v>
      </c>
      <c r="R181" s="117" t="s">
        <v>932</v>
      </c>
      <c r="S181" s="117" t="s">
        <v>932</v>
      </c>
      <c r="T181" s="119" t="s">
        <v>932</v>
      </c>
      <c r="U181" s="117" t="s">
        <v>932</v>
      </c>
      <c r="V181" s="117" t="s">
        <v>932</v>
      </c>
      <c r="W181" s="117" t="s">
        <v>932</v>
      </c>
      <c r="X181" s="117" t="s">
        <v>932</v>
      </c>
      <c r="Y181" s="117" t="s">
        <v>934</v>
      </c>
      <c r="Z181" s="117" t="s">
        <v>932</v>
      </c>
      <c r="AA181" s="117" t="s">
        <v>932</v>
      </c>
      <c r="AB181" s="117" t="s">
        <v>932</v>
      </c>
      <c r="AC181" s="117" t="s">
        <v>932</v>
      </c>
      <c r="AD181" s="117" t="s">
        <v>934</v>
      </c>
      <c r="AE181" s="117" t="s">
        <v>934</v>
      </c>
      <c r="AF181" s="117" t="s">
        <v>933</v>
      </c>
      <c r="AG181" s="117" t="s">
        <v>934</v>
      </c>
      <c r="AH181" s="117" t="s">
        <v>934</v>
      </c>
      <c r="AI181" s="117" t="s">
        <v>934</v>
      </c>
      <c r="AJ181" s="117" t="s">
        <v>1840</v>
      </c>
      <c r="AK181" s="117" t="s">
        <v>1841</v>
      </c>
      <c r="AL181" s="117" t="s">
        <v>1722</v>
      </c>
      <c r="AM181" s="117" t="s">
        <v>1744</v>
      </c>
      <c r="AN181" s="117" t="s">
        <v>932</v>
      </c>
      <c r="AO181" s="124"/>
      <c r="AP181" s="117" t="s">
        <v>1749</v>
      </c>
      <c r="AQ181" s="117" t="s">
        <v>1750</v>
      </c>
      <c r="AR181" s="117" t="s">
        <v>1744</v>
      </c>
      <c r="AS181" s="117" t="s">
        <v>1722</v>
      </c>
      <c r="AT181" s="117" t="s">
        <v>933</v>
      </c>
      <c r="AU181" s="117" t="s">
        <v>933</v>
      </c>
      <c r="AV181" s="117" t="s">
        <v>932</v>
      </c>
      <c r="AW181" s="117">
        <v>0.01</v>
      </c>
      <c r="AX181" s="117" t="s">
        <v>932</v>
      </c>
      <c r="AY181" s="117">
        <v>0.01</v>
      </c>
      <c r="AZ181" s="117">
        <v>17.2</v>
      </c>
      <c r="BA181" s="117" t="s">
        <v>932</v>
      </c>
      <c r="BB181" s="117" t="s">
        <v>932</v>
      </c>
      <c r="BC181" s="117" t="s">
        <v>932</v>
      </c>
      <c r="BD181" s="117" t="s">
        <v>932</v>
      </c>
      <c r="BE181" s="117" t="s">
        <v>932</v>
      </c>
      <c r="BF181" s="117">
        <v>2</v>
      </c>
      <c r="BG181" s="117" t="s">
        <v>933</v>
      </c>
      <c r="BH181" s="117">
        <v>15</v>
      </c>
      <c r="BI181" s="117" t="s">
        <v>1751</v>
      </c>
      <c r="BJ181" s="117" t="s">
        <v>932</v>
      </c>
      <c r="BK181" s="117" t="s">
        <v>932</v>
      </c>
      <c r="BL181" s="117">
        <v>1</v>
      </c>
      <c r="BM181" s="117" t="s">
        <v>932</v>
      </c>
      <c r="BN181" s="124"/>
      <c r="BO181" s="117" t="s">
        <v>932</v>
      </c>
      <c r="BP181" s="117">
        <v>1</v>
      </c>
      <c r="BQ181" s="117" t="s">
        <v>933</v>
      </c>
      <c r="BR181" s="124"/>
      <c r="BS181" s="117">
        <v>300</v>
      </c>
      <c r="BT181" s="124"/>
      <c r="BU181" s="124"/>
      <c r="BV181" s="124"/>
      <c r="BW181" s="124"/>
      <c r="BX181" s="124"/>
      <c r="BY181" s="124"/>
      <c r="BZ181" s="124"/>
      <c r="CA181" s="124"/>
      <c r="CB181" s="124"/>
      <c r="CC181" s="124"/>
      <c r="CD181" s="124"/>
      <c r="CE181" s="124"/>
      <c r="CF181" s="124"/>
      <c r="CG181" s="124"/>
      <c r="CH181" s="124"/>
      <c r="CI181" s="124"/>
    </row>
    <row r="182" spans="1:87" s="117" customFormat="1" ht="25.5">
      <c r="A182" s="114">
        <v>41743.572905092595</v>
      </c>
      <c r="B182" s="115">
        <v>41743.572905092595</v>
      </c>
      <c r="C182" s="114">
        <v>41743.632928240739</v>
      </c>
      <c r="D182" s="115">
        <v>41743.632928240739</v>
      </c>
      <c r="E182" s="116" t="s">
        <v>1842</v>
      </c>
      <c r="F182" s="122" t="s">
        <v>1815</v>
      </c>
      <c r="G182" s="117" t="s">
        <v>1843</v>
      </c>
      <c r="H182" s="124"/>
      <c r="I182" s="117">
        <v>126</v>
      </c>
      <c r="J182" s="118" t="s">
        <v>1803</v>
      </c>
      <c r="K182" s="117" t="s">
        <v>1844</v>
      </c>
      <c r="L182" s="117" t="s">
        <v>931</v>
      </c>
      <c r="M182" s="117" t="s">
        <v>932</v>
      </c>
      <c r="N182" s="117" t="s">
        <v>932</v>
      </c>
      <c r="O182" s="117" t="s">
        <v>932</v>
      </c>
      <c r="P182" s="117" t="s">
        <v>932</v>
      </c>
      <c r="Q182" s="117" t="s">
        <v>932</v>
      </c>
      <c r="R182" s="117" t="s">
        <v>932</v>
      </c>
      <c r="S182" s="117" t="s">
        <v>932</v>
      </c>
      <c r="T182" s="119" t="s">
        <v>932</v>
      </c>
      <c r="U182" s="117" t="s">
        <v>932</v>
      </c>
      <c r="V182" s="117" t="s">
        <v>932</v>
      </c>
      <c r="W182" s="117" t="s">
        <v>932</v>
      </c>
      <c r="X182" s="117" t="s">
        <v>934</v>
      </c>
      <c r="Y182" s="117" t="s">
        <v>934</v>
      </c>
      <c r="Z182" s="117" t="s">
        <v>932</v>
      </c>
      <c r="AA182" s="117" t="s">
        <v>934</v>
      </c>
      <c r="AB182" s="117" t="s">
        <v>934</v>
      </c>
      <c r="AC182" s="117" t="s">
        <v>932</v>
      </c>
      <c r="AD182" s="117" t="s">
        <v>934</v>
      </c>
      <c r="AE182" s="117" t="s">
        <v>934</v>
      </c>
      <c r="AF182" s="117" t="s">
        <v>934</v>
      </c>
      <c r="AG182" s="117" t="s">
        <v>933</v>
      </c>
      <c r="AH182" s="117" t="s">
        <v>934</v>
      </c>
      <c r="AI182" s="117" t="s">
        <v>934</v>
      </c>
      <c r="AJ182" s="117" t="s">
        <v>1722</v>
      </c>
      <c r="AK182" s="117" t="s">
        <v>1845</v>
      </c>
      <c r="AL182" s="117" t="s">
        <v>1722</v>
      </c>
      <c r="AM182" s="117" t="s">
        <v>1846</v>
      </c>
      <c r="AN182" s="117" t="s">
        <v>933</v>
      </c>
      <c r="AO182" s="117" t="s">
        <v>1847</v>
      </c>
      <c r="AP182" s="117" t="s">
        <v>955</v>
      </c>
      <c r="AQ182" s="117" t="s">
        <v>1848</v>
      </c>
      <c r="AR182" s="117" t="s">
        <v>943</v>
      </c>
      <c r="AS182" s="117" t="s">
        <v>943</v>
      </c>
      <c r="AT182" s="117" t="s">
        <v>933</v>
      </c>
      <c r="AU182" s="117" t="s">
        <v>933</v>
      </c>
      <c r="AV182" s="117" t="s">
        <v>933</v>
      </c>
      <c r="AW182" s="117">
        <v>5.7</v>
      </c>
      <c r="AX182" s="117" t="s">
        <v>933</v>
      </c>
      <c r="AY182" s="117" t="s">
        <v>944</v>
      </c>
      <c r="AZ182" s="117">
        <v>0.8</v>
      </c>
      <c r="BA182" s="124"/>
      <c r="BB182" s="117" t="s">
        <v>932</v>
      </c>
      <c r="BC182" s="117" t="s">
        <v>932</v>
      </c>
      <c r="BD182" s="124"/>
      <c r="BE182" s="124"/>
      <c r="BF182" s="117">
        <v>1</v>
      </c>
      <c r="BG182" s="117" t="s">
        <v>932</v>
      </c>
      <c r="BH182" s="117">
        <v>15</v>
      </c>
      <c r="BI182" s="117" t="s">
        <v>1849</v>
      </c>
      <c r="BJ182" s="117" t="s">
        <v>932</v>
      </c>
      <c r="BK182" s="117" t="s">
        <v>932</v>
      </c>
      <c r="BL182" s="117">
        <v>1</v>
      </c>
      <c r="BM182" s="117" t="s">
        <v>932</v>
      </c>
      <c r="BN182" s="124"/>
      <c r="BO182" s="117" t="s">
        <v>932</v>
      </c>
      <c r="BP182" s="117">
        <v>1</v>
      </c>
      <c r="BQ182" s="124"/>
      <c r="BR182" s="124"/>
      <c r="BS182" s="117">
        <v>300</v>
      </c>
      <c r="BT182" s="117" t="s">
        <v>1832</v>
      </c>
      <c r="BU182" s="117" t="s">
        <v>932</v>
      </c>
      <c r="BV182" s="117">
        <v>126</v>
      </c>
      <c r="BW182" s="117" t="s">
        <v>1850</v>
      </c>
      <c r="BX182" s="117">
        <v>6.05</v>
      </c>
      <c r="BY182" s="117" t="s">
        <v>190</v>
      </c>
      <c r="BZ182" s="124"/>
      <c r="CA182" s="124"/>
      <c r="CB182" s="117" t="s">
        <v>932</v>
      </c>
      <c r="CC182" s="117" t="s">
        <v>1443</v>
      </c>
      <c r="CD182" s="117" t="s">
        <v>932</v>
      </c>
      <c r="CE182" s="117" t="s">
        <v>932</v>
      </c>
      <c r="CF182" s="117">
        <v>28</v>
      </c>
      <c r="CG182" s="117">
        <v>0</v>
      </c>
      <c r="CH182" s="117" t="s">
        <v>932</v>
      </c>
      <c r="CI182" s="117" t="s">
        <v>932</v>
      </c>
    </row>
    <row r="183" spans="1:87" s="117" customFormat="1" ht="25.5">
      <c r="A183" s="114">
        <v>41743.579826388886</v>
      </c>
      <c r="B183" s="115">
        <v>41743.579826388886</v>
      </c>
      <c r="C183" s="114">
        <v>41743.579826388886</v>
      </c>
      <c r="D183" s="115">
        <v>41743.579826388886</v>
      </c>
      <c r="E183" s="116" t="s">
        <v>1851</v>
      </c>
      <c r="F183" s="122" t="s">
        <v>1852</v>
      </c>
      <c r="G183" s="124"/>
      <c r="H183" s="124"/>
      <c r="I183" s="117">
        <v>114</v>
      </c>
      <c r="J183" s="124"/>
      <c r="K183" s="124"/>
      <c r="L183" s="124"/>
      <c r="M183" s="124"/>
      <c r="N183" s="124"/>
      <c r="O183" s="124"/>
      <c r="P183" s="124"/>
      <c r="Q183" s="124"/>
      <c r="R183" s="124"/>
      <c r="S183" s="124"/>
      <c r="T183" s="124"/>
      <c r="U183" s="124"/>
      <c r="V183" s="124"/>
      <c r="W183" s="124"/>
      <c r="X183" s="124"/>
      <c r="Y183" s="124"/>
      <c r="Z183" s="124"/>
      <c r="AA183" s="124"/>
      <c r="AB183" s="124"/>
      <c r="AC183" s="124"/>
      <c r="AD183" s="124"/>
      <c r="AE183" s="124"/>
      <c r="AF183" s="124"/>
      <c r="AG183" s="124"/>
      <c r="AH183" s="124"/>
      <c r="AI183" s="124"/>
      <c r="AJ183" s="124"/>
      <c r="AK183" s="117" t="s">
        <v>1810</v>
      </c>
      <c r="AL183" s="117" t="s">
        <v>1722</v>
      </c>
      <c r="AM183" s="117" t="s">
        <v>1744</v>
      </c>
      <c r="AN183" s="117" t="s">
        <v>932</v>
      </c>
      <c r="AO183" s="124"/>
      <c r="AP183" s="117" t="s">
        <v>1182</v>
      </c>
      <c r="AQ183" s="117">
        <v>1680</v>
      </c>
      <c r="AR183" s="117" t="s">
        <v>1744</v>
      </c>
      <c r="AS183" s="117" t="s">
        <v>1722</v>
      </c>
      <c r="AT183" s="124"/>
      <c r="AU183" s="117" t="s">
        <v>933</v>
      </c>
      <c r="AV183" s="124"/>
      <c r="AW183" s="117" t="s">
        <v>1811</v>
      </c>
      <c r="AX183" s="124"/>
      <c r="AY183" s="117" t="s">
        <v>1811</v>
      </c>
      <c r="AZ183" s="117">
        <v>12.4</v>
      </c>
      <c r="BA183" s="117" t="s">
        <v>932</v>
      </c>
      <c r="BB183" s="117" t="s">
        <v>932</v>
      </c>
      <c r="BC183" s="117" t="s">
        <v>932</v>
      </c>
      <c r="BD183" s="117" t="s">
        <v>932</v>
      </c>
      <c r="BE183" s="117" t="s">
        <v>932</v>
      </c>
      <c r="BF183" s="117">
        <v>1</v>
      </c>
      <c r="BG183" s="117" t="s">
        <v>933</v>
      </c>
      <c r="BH183" s="117">
        <v>15</v>
      </c>
      <c r="BI183" s="117" t="s">
        <v>1751</v>
      </c>
      <c r="BJ183" s="117" t="s">
        <v>932</v>
      </c>
      <c r="BK183" s="117" t="s">
        <v>933</v>
      </c>
      <c r="BL183" s="117" t="s">
        <v>1853</v>
      </c>
      <c r="BM183" s="117" t="s">
        <v>932</v>
      </c>
      <c r="BN183" s="124"/>
      <c r="BO183" s="117" t="s">
        <v>933</v>
      </c>
      <c r="BP183" s="117">
        <v>1</v>
      </c>
      <c r="BQ183" s="124"/>
      <c r="BR183" s="124"/>
      <c r="BS183" s="117">
        <v>100</v>
      </c>
      <c r="BT183" s="117" t="s">
        <v>1737</v>
      </c>
      <c r="BU183" s="117" t="s">
        <v>932</v>
      </c>
      <c r="BV183" s="117">
        <v>114</v>
      </c>
      <c r="BW183" s="117" t="s">
        <v>1854</v>
      </c>
      <c r="BX183" s="117">
        <v>6.05</v>
      </c>
      <c r="BY183" s="117" t="s">
        <v>1442</v>
      </c>
      <c r="BZ183" s="124"/>
      <c r="CA183" s="124"/>
      <c r="CB183" s="117" t="s">
        <v>932</v>
      </c>
      <c r="CC183" s="117" t="s">
        <v>190</v>
      </c>
      <c r="CD183" s="117" t="s">
        <v>932</v>
      </c>
      <c r="CE183" s="117" t="s">
        <v>932</v>
      </c>
      <c r="CF183" s="117">
        <v>29</v>
      </c>
      <c r="CG183" s="117">
        <v>0</v>
      </c>
      <c r="CH183" s="117" t="s">
        <v>932</v>
      </c>
      <c r="CI183" s="117" t="s">
        <v>932</v>
      </c>
    </row>
    <row r="184" spans="1:87" s="117" customFormat="1" ht="25.5">
      <c r="A184" s="114">
        <v>41743.611620370371</v>
      </c>
      <c r="B184" s="115">
        <v>41743.611620370371</v>
      </c>
      <c r="C184" s="114">
        <v>41743.667071759257</v>
      </c>
      <c r="D184" s="115">
        <v>41743.667071759257</v>
      </c>
      <c r="E184" s="116" t="s">
        <v>1855</v>
      </c>
      <c r="F184" s="122" t="s">
        <v>1766</v>
      </c>
      <c r="G184" s="117" t="s">
        <v>1856</v>
      </c>
      <c r="H184" s="124"/>
      <c r="I184" s="117">
        <v>120</v>
      </c>
      <c r="J184" s="118" t="s">
        <v>1857</v>
      </c>
      <c r="K184" s="117" t="s">
        <v>1829</v>
      </c>
      <c r="L184" s="117" t="s">
        <v>931</v>
      </c>
      <c r="M184" s="117" t="s">
        <v>932</v>
      </c>
      <c r="N184" s="117" t="s">
        <v>932</v>
      </c>
      <c r="O184" s="117" t="s">
        <v>932</v>
      </c>
      <c r="P184" s="117" t="s">
        <v>932</v>
      </c>
      <c r="Q184" s="117" t="s">
        <v>932</v>
      </c>
      <c r="R184" s="117" t="s">
        <v>932</v>
      </c>
      <c r="S184" s="117" t="s">
        <v>932</v>
      </c>
      <c r="T184" s="119" t="s">
        <v>932</v>
      </c>
      <c r="U184" s="117" t="s">
        <v>932</v>
      </c>
      <c r="V184" s="117" t="s">
        <v>932</v>
      </c>
      <c r="W184" s="117" t="s">
        <v>932</v>
      </c>
      <c r="X184" s="117" t="s">
        <v>934</v>
      </c>
      <c r="Y184" s="117" t="s">
        <v>934</v>
      </c>
      <c r="Z184" s="117" t="s">
        <v>934</v>
      </c>
      <c r="AA184" s="117" t="s">
        <v>934</v>
      </c>
      <c r="AB184" s="117" t="s">
        <v>934</v>
      </c>
      <c r="AC184" s="117" t="s">
        <v>934</v>
      </c>
      <c r="AD184" s="117" t="s">
        <v>934</v>
      </c>
      <c r="AE184" s="117" t="s">
        <v>934</v>
      </c>
      <c r="AF184" s="117" t="s">
        <v>933</v>
      </c>
      <c r="AG184" s="117" t="s">
        <v>933</v>
      </c>
      <c r="AH184" s="117" t="s">
        <v>933</v>
      </c>
      <c r="AI184" s="117" t="s">
        <v>933</v>
      </c>
      <c r="AJ184" s="117" t="s">
        <v>943</v>
      </c>
      <c r="AK184" s="117" t="s">
        <v>1531</v>
      </c>
      <c r="AL184" s="117" t="s">
        <v>943</v>
      </c>
      <c r="AM184" s="117" t="s">
        <v>1652</v>
      </c>
      <c r="AN184" s="117" t="s">
        <v>932</v>
      </c>
      <c r="AO184" s="117" t="s">
        <v>1858</v>
      </c>
      <c r="AP184" s="117" t="s">
        <v>1330</v>
      </c>
      <c r="AQ184" s="117" t="s">
        <v>1859</v>
      </c>
      <c r="AR184" s="117" t="s">
        <v>943</v>
      </c>
      <c r="AS184" s="117" t="s">
        <v>943</v>
      </c>
      <c r="AT184" s="117" t="s">
        <v>933</v>
      </c>
      <c r="AU184" s="117" t="s">
        <v>933</v>
      </c>
      <c r="AV184" s="117" t="s">
        <v>933</v>
      </c>
      <c r="AW184" s="117">
        <v>13.6</v>
      </c>
      <c r="AX184" s="117" t="s">
        <v>933</v>
      </c>
      <c r="AY184" s="117" t="s">
        <v>944</v>
      </c>
      <c r="AZ184" s="117" t="s">
        <v>944</v>
      </c>
      <c r="BA184" s="117" t="s">
        <v>932</v>
      </c>
      <c r="BB184" s="117" t="s">
        <v>932</v>
      </c>
      <c r="BC184" s="117" t="s">
        <v>932</v>
      </c>
      <c r="BD184" s="124"/>
      <c r="BE184" s="117" t="s">
        <v>932</v>
      </c>
      <c r="BF184" s="117">
        <v>1</v>
      </c>
      <c r="BG184" s="124"/>
      <c r="BH184" s="117">
        <v>15</v>
      </c>
      <c r="BI184" s="117" t="s">
        <v>1860</v>
      </c>
      <c r="BJ184" s="117" t="s">
        <v>932</v>
      </c>
      <c r="BK184" s="117" t="s">
        <v>932</v>
      </c>
      <c r="BL184" s="117">
        <v>1</v>
      </c>
      <c r="BM184" s="117" t="s">
        <v>932</v>
      </c>
      <c r="BN184" s="124"/>
      <c r="BO184" s="117" t="s">
        <v>932</v>
      </c>
      <c r="BP184" s="117">
        <v>1</v>
      </c>
      <c r="BQ184" s="124"/>
      <c r="BR184" s="124"/>
      <c r="BS184" s="117">
        <v>50</v>
      </c>
      <c r="BT184" s="117" t="s">
        <v>946</v>
      </c>
      <c r="BU184" s="117" t="s">
        <v>932</v>
      </c>
      <c r="BV184" s="117">
        <v>120</v>
      </c>
      <c r="BW184" s="117" t="s">
        <v>1861</v>
      </c>
      <c r="BX184" s="117">
        <v>6.05</v>
      </c>
      <c r="BY184" s="117" t="s">
        <v>190</v>
      </c>
      <c r="BZ184" s="124"/>
      <c r="CA184" s="124"/>
      <c r="CB184" s="117" t="s">
        <v>932</v>
      </c>
      <c r="CC184" s="117" t="s">
        <v>1443</v>
      </c>
      <c r="CD184" s="117" t="s">
        <v>932</v>
      </c>
      <c r="CE184" s="117" t="s">
        <v>932</v>
      </c>
      <c r="CF184" s="117">
        <v>30</v>
      </c>
      <c r="CG184" s="117">
        <v>2</v>
      </c>
      <c r="CH184" s="117" t="s">
        <v>932</v>
      </c>
      <c r="CI184" s="117" t="s">
        <v>932</v>
      </c>
    </row>
    <row r="185" spans="1:87" s="117" customFormat="1" ht="25.5">
      <c r="A185" s="114">
        <v>41743.620856481481</v>
      </c>
      <c r="B185" s="115">
        <v>41743.620856481481</v>
      </c>
      <c r="C185" s="114">
        <v>41743.666527777779</v>
      </c>
      <c r="D185" s="115">
        <v>41743.666527777779</v>
      </c>
      <c r="E185" s="116" t="s">
        <v>1862</v>
      </c>
      <c r="F185" s="122" t="s">
        <v>1795</v>
      </c>
      <c r="G185" s="117" t="s">
        <v>1546</v>
      </c>
      <c r="H185" s="124"/>
      <c r="I185" s="117">
        <v>110</v>
      </c>
      <c r="J185" s="118" t="s">
        <v>998</v>
      </c>
      <c r="K185" s="117" t="s">
        <v>1863</v>
      </c>
      <c r="L185" s="117" t="s">
        <v>931</v>
      </c>
      <c r="M185" s="117" t="s">
        <v>932</v>
      </c>
      <c r="N185" s="117" t="s">
        <v>932</v>
      </c>
      <c r="O185" s="117" t="s">
        <v>932</v>
      </c>
      <c r="P185" s="117" t="s">
        <v>932</v>
      </c>
      <c r="Q185" s="117" t="s">
        <v>932</v>
      </c>
      <c r="R185" s="117" t="s">
        <v>932</v>
      </c>
      <c r="S185" s="117" t="s">
        <v>932</v>
      </c>
      <c r="T185" s="119" t="s">
        <v>932</v>
      </c>
      <c r="U185" s="117" t="s">
        <v>932</v>
      </c>
      <c r="V185" s="117" t="s">
        <v>932</v>
      </c>
      <c r="W185" s="117" t="s">
        <v>932</v>
      </c>
      <c r="X185" s="117" t="s">
        <v>932</v>
      </c>
      <c r="Y185" s="117" t="s">
        <v>934</v>
      </c>
      <c r="Z185" s="117" t="s">
        <v>934</v>
      </c>
      <c r="AA185" s="117" t="s">
        <v>932</v>
      </c>
      <c r="AB185" s="117" t="s">
        <v>932</v>
      </c>
      <c r="AC185" s="117" t="s">
        <v>932</v>
      </c>
      <c r="AD185" s="117" t="s">
        <v>934</v>
      </c>
      <c r="AE185" s="117" t="s">
        <v>934</v>
      </c>
      <c r="AF185" s="117" t="s">
        <v>933</v>
      </c>
      <c r="AG185" s="117" t="s">
        <v>933</v>
      </c>
      <c r="AH185" s="117" t="s">
        <v>933</v>
      </c>
      <c r="AI185" s="117" t="s">
        <v>933</v>
      </c>
      <c r="AJ185" s="117" t="s">
        <v>943</v>
      </c>
      <c r="AK185" s="117" t="s">
        <v>1153</v>
      </c>
      <c r="AL185" s="117" t="s">
        <v>943</v>
      </c>
      <c r="AM185" s="117" t="s">
        <v>1652</v>
      </c>
      <c r="AN185" s="117" t="s">
        <v>932</v>
      </c>
      <c r="AO185" s="124"/>
      <c r="AP185" s="117" t="s">
        <v>1080</v>
      </c>
      <c r="AQ185" s="117" t="s">
        <v>1265</v>
      </c>
      <c r="AR185" s="117" t="s">
        <v>943</v>
      </c>
      <c r="AS185" s="117" t="s">
        <v>943</v>
      </c>
      <c r="AT185" s="124"/>
      <c r="AU185" s="117" t="s">
        <v>933</v>
      </c>
      <c r="AV185" s="117" t="s">
        <v>933</v>
      </c>
      <c r="AW185" s="117" t="s">
        <v>944</v>
      </c>
      <c r="AX185" s="117" t="s">
        <v>933</v>
      </c>
      <c r="AY185" s="117" t="s">
        <v>944</v>
      </c>
      <c r="AZ185" s="117">
        <v>89.5</v>
      </c>
      <c r="BA185" s="117" t="s">
        <v>932</v>
      </c>
      <c r="BB185" s="117" t="s">
        <v>933</v>
      </c>
      <c r="BC185" s="117" t="s">
        <v>932</v>
      </c>
      <c r="BD185" s="117" t="s">
        <v>932</v>
      </c>
      <c r="BE185" s="117" t="s">
        <v>932</v>
      </c>
      <c r="BF185" s="117">
        <v>1</v>
      </c>
      <c r="BG185" s="124"/>
      <c r="BH185" s="117">
        <v>15</v>
      </c>
      <c r="BI185" s="117" t="s">
        <v>1860</v>
      </c>
      <c r="BJ185" s="117" t="s">
        <v>932</v>
      </c>
      <c r="BK185" s="117" t="s">
        <v>932</v>
      </c>
      <c r="BL185" s="117">
        <v>1</v>
      </c>
      <c r="BM185" s="117" t="s">
        <v>932</v>
      </c>
      <c r="BN185" s="124"/>
      <c r="BO185" s="124"/>
      <c r="BP185" s="117">
        <v>1</v>
      </c>
      <c r="BQ185" s="117" t="s">
        <v>932</v>
      </c>
      <c r="BR185" s="124"/>
      <c r="BS185" s="117">
        <v>100</v>
      </c>
      <c r="BT185" s="117" t="s">
        <v>946</v>
      </c>
      <c r="BU185" s="117" t="s">
        <v>932</v>
      </c>
      <c r="BV185" s="117">
        <v>110</v>
      </c>
      <c r="BW185" s="117" t="s">
        <v>1864</v>
      </c>
      <c r="BX185" s="117">
        <v>6.05</v>
      </c>
      <c r="BY185" s="117" t="s">
        <v>190</v>
      </c>
      <c r="BZ185" s="124"/>
      <c r="CA185" s="124"/>
      <c r="CB185" s="117" t="s">
        <v>932</v>
      </c>
      <c r="CC185" s="117" t="s">
        <v>1443</v>
      </c>
      <c r="CD185" s="117" t="s">
        <v>932</v>
      </c>
      <c r="CE185" s="117" t="s">
        <v>932</v>
      </c>
      <c r="CF185" s="117">
        <v>28</v>
      </c>
      <c r="CG185" s="117">
        <v>1</v>
      </c>
      <c r="CH185" s="117" t="s">
        <v>932</v>
      </c>
      <c r="CI185" s="124"/>
    </row>
    <row r="186" spans="1:87" s="117" customFormat="1" ht="25.5">
      <c r="A186" s="114">
        <v>41743.68577546296</v>
      </c>
      <c r="B186" s="124"/>
      <c r="C186" s="114">
        <v>41743.690682870372</v>
      </c>
      <c r="D186" s="115">
        <v>41743.690682870372</v>
      </c>
      <c r="E186" s="116" t="s">
        <v>1865</v>
      </c>
      <c r="F186" s="122" t="s">
        <v>1766</v>
      </c>
      <c r="G186" s="117" t="s">
        <v>1786</v>
      </c>
      <c r="H186" s="124"/>
      <c r="I186" s="117">
        <v>132</v>
      </c>
      <c r="J186" s="118" t="s">
        <v>1144</v>
      </c>
      <c r="K186" s="117" t="s">
        <v>1866</v>
      </c>
      <c r="L186" s="117" t="s">
        <v>931</v>
      </c>
      <c r="M186" s="117" t="s">
        <v>932</v>
      </c>
      <c r="N186" s="117" t="s">
        <v>932</v>
      </c>
      <c r="O186" s="117" t="s">
        <v>932</v>
      </c>
      <c r="P186" s="117" t="s">
        <v>932</v>
      </c>
      <c r="Q186" s="117" t="s">
        <v>932</v>
      </c>
      <c r="R186" s="117" t="s">
        <v>932</v>
      </c>
      <c r="S186" s="117" t="s">
        <v>932</v>
      </c>
      <c r="T186" s="119" t="s">
        <v>932</v>
      </c>
      <c r="U186" s="117" t="s">
        <v>932</v>
      </c>
      <c r="V186" s="117" t="s">
        <v>932</v>
      </c>
      <c r="W186" s="117" t="s">
        <v>932</v>
      </c>
      <c r="X186" s="117" t="s">
        <v>934</v>
      </c>
      <c r="Y186" s="117" t="s">
        <v>934</v>
      </c>
      <c r="Z186" s="117" t="s">
        <v>934</v>
      </c>
      <c r="AA186" s="117" t="s">
        <v>934</v>
      </c>
      <c r="AB186" s="117" t="s">
        <v>934</v>
      </c>
      <c r="AC186" s="117" t="s">
        <v>934</v>
      </c>
      <c r="AD186" s="117" t="s">
        <v>934</v>
      </c>
      <c r="AE186" s="117" t="s">
        <v>934</v>
      </c>
      <c r="AF186" s="117" t="s">
        <v>934</v>
      </c>
      <c r="AG186" s="117" t="s">
        <v>934</v>
      </c>
      <c r="AH186" s="117" t="s">
        <v>934</v>
      </c>
      <c r="AI186" s="117" t="s">
        <v>934</v>
      </c>
      <c r="AJ186" s="117" t="s">
        <v>943</v>
      </c>
      <c r="AK186" s="117" t="s">
        <v>1867</v>
      </c>
      <c r="AL186" s="117" t="s">
        <v>943</v>
      </c>
      <c r="AM186" s="117" t="s">
        <v>1088</v>
      </c>
      <c r="AN186" s="117" t="s">
        <v>932</v>
      </c>
      <c r="AO186" s="124"/>
      <c r="AP186" s="117" t="s">
        <v>1330</v>
      </c>
      <c r="AQ186" s="117" t="s">
        <v>1868</v>
      </c>
      <c r="AR186" s="117" t="s">
        <v>943</v>
      </c>
      <c r="AS186" s="117" t="s">
        <v>943</v>
      </c>
      <c r="AT186" s="124"/>
      <c r="AU186" s="117" t="s">
        <v>933</v>
      </c>
      <c r="AV186" s="117" t="s">
        <v>933</v>
      </c>
      <c r="AW186" s="117" t="s">
        <v>944</v>
      </c>
      <c r="AX186" s="117" t="s">
        <v>933</v>
      </c>
      <c r="AY186" s="117" t="s">
        <v>944</v>
      </c>
      <c r="AZ186" s="117">
        <v>5.7</v>
      </c>
      <c r="BA186" s="117" t="s">
        <v>932</v>
      </c>
      <c r="BB186" s="117" t="s">
        <v>932</v>
      </c>
      <c r="BC186" s="117" t="s">
        <v>932</v>
      </c>
      <c r="BD186" s="124"/>
      <c r="BE186" s="124"/>
      <c r="BF186" s="117">
        <v>1</v>
      </c>
      <c r="BG186" s="117" t="s">
        <v>932</v>
      </c>
      <c r="BH186" s="117">
        <v>15</v>
      </c>
      <c r="BI186" s="117" t="s">
        <v>1869</v>
      </c>
      <c r="BJ186" s="117" t="s">
        <v>932</v>
      </c>
      <c r="BK186" s="117" t="s">
        <v>932</v>
      </c>
      <c r="BL186" s="117">
        <v>1</v>
      </c>
      <c r="BM186" s="124"/>
      <c r="BN186" s="124"/>
      <c r="BO186" s="124"/>
      <c r="BP186" s="117">
        <v>1</v>
      </c>
      <c r="BQ186" s="117" t="s">
        <v>932</v>
      </c>
      <c r="BR186" s="124"/>
      <c r="BS186" s="117">
        <v>100</v>
      </c>
      <c r="BT186" s="117" t="s">
        <v>946</v>
      </c>
      <c r="BU186" s="117" t="s">
        <v>932</v>
      </c>
      <c r="BV186" s="117">
        <v>132</v>
      </c>
      <c r="BW186" s="117" t="s">
        <v>1870</v>
      </c>
      <c r="BX186" s="117">
        <v>6.05</v>
      </c>
      <c r="BY186" s="117" t="s">
        <v>190</v>
      </c>
      <c r="BZ186" s="124"/>
      <c r="CA186" s="124"/>
      <c r="CB186" s="117" t="s">
        <v>932</v>
      </c>
      <c r="CC186" s="117" t="s">
        <v>1443</v>
      </c>
      <c r="CD186" s="117" t="s">
        <v>932</v>
      </c>
      <c r="CE186" s="117" t="s">
        <v>932</v>
      </c>
      <c r="CF186" s="117">
        <v>30</v>
      </c>
      <c r="CG186" s="117">
        <v>1</v>
      </c>
      <c r="CH186" s="117" t="s">
        <v>932</v>
      </c>
      <c r="CI186" s="117" t="s">
        <v>932</v>
      </c>
    </row>
    <row r="187" spans="1:87" s="117" customFormat="1" ht="25.5">
      <c r="A187" s="114">
        <v>41744.347337962965</v>
      </c>
      <c r="B187" s="115">
        <v>41744.347337962965</v>
      </c>
      <c r="C187" s="114">
        <v>41744.381157407406</v>
      </c>
      <c r="D187" s="115">
        <v>41744.381157407406</v>
      </c>
      <c r="E187" s="116" t="s">
        <v>1871</v>
      </c>
      <c r="F187" s="122" t="s">
        <v>1872</v>
      </c>
      <c r="G187" s="117" t="s">
        <v>1873</v>
      </c>
      <c r="H187" s="117" t="s">
        <v>1874</v>
      </c>
      <c r="I187" s="117">
        <v>242</v>
      </c>
      <c r="J187" s="118" t="s">
        <v>998</v>
      </c>
      <c r="K187" s="117" t="s">
        <v>1450</v>
      </c>
      <c r="L187" s="117" t="s">
        <v>931</v>
      </c>
      <c r="M187" s="117" t="s">
        <v>932</v>
      </c>
      <c r="N187" s="117" t="s">
        <v>932</v>
      </c>
      <c r="O187" s="117" t="s">
        <v>932</v>
      </c>
      <c r="P187" s="117" t="s">
        <v>932</v>
      </c>
      <c r="Q187" s="117" t="s">
        <v>934</v>
      </c>
      <c r="R187" s="117" t="s">
        <v>932</v>
      </c>
      <c r="S187" s="117" t="s">
        <v>932</v>
      </c>
      <c r="T187" s="119" t="s">
        <v>932</v>
      </c>
      <c r="U187" s="117" t="s">
        <v>932</v>
      </c>
      <c r="V187" s="117" t="s">
        <v>932</v>
      </c>
      <c r="W187" s="117" t="s">
        <v>932</v>
      </c>
      <c r="X187" s="117" t="s">
        <v>934</v>
      </c>
      <c r="Y187" s="117" t="s">
        <v>934</v>
      </c>
      <c r="Z187" s="117" t="s">
        <v>934</v>
      </c>
      <c r="AA187" s="117" t="s">
        <v>932</v>
      </c>
      <c r="AB187" s="117" t="s">
        <v>932</v>
      </c>
      <c r="AC187" s="117" t="s">
        <v>932</v>
      </c>
      <c r="AD187" s="117" t="s">
        <v>934</v>
      </c>
      <c r="AE187" s="117" t="s">
        <v>934</v>
      </c>
      <c r="AF187" s="117" t="s">
        <v>933</v>
      </c>
      <c r="AG187" s="117" t="s">
        <v>933</v>
      </c>
      <c r="AH187" s="117" t="s">
        <v>933</v>
      </c>
      <c r="AI187" s="117" t="s">
        <v>934</v>
      </c>
      <c r="AJ187" s="117" t="s">
        <v>943</v>
      </c>
      <c r="AK187" s="117" t="s">
        <v>1656</v>
      </c>
      <c r="AL187" s="117" t="s">
        <v>943</v>
      </c>
      <c r="AM187" s="117" t="s">
        <v>992</v>
      </c>
      <c r="AN187" s="117" t="s">
        <v>932</v>
      </c>
      <c r="AO187" s="117" t="s">
        <v>1875</v>
      </c>
      <c r="AP187" s="117" t="s">
        <v>1876</v>
      </c>
      <c r="AQ187" s="117" t="s">
        <v>1330</v>
      </c>
      <c r="AR187" s="117" t="s">
        <v>992</v>
      </c>
      <c r="AS187" s="117" t="s">
        <v>943</v>
      </c>
      <c r="AT187" s="117" t="s">
        <v>933</v>
      </c>
      <c r="AU187" s="117" t="s">
        <v>933</v>
      </c>
      <c r="AV187" s="117" t="s">
        <v>932</v>
      </c>
      <c r="AW187" s="117">
        <v>1.9</v>
      </c>
      <c r="AX187" s="117" t="s">
        <v>932</v>
      </c>
      <c r="AY187" s="117">
        <v>19.2</v>
      </c>
      <c r="AZ187" s="117">
        <v>1.2</v>
      </c>
      <c r="BA187" s="117" t="s">
        <v>932</v>
      </c>
      <c r="BB187" s="117" t="s">
        <v>933</v>
      </c>
      <c r="BC187" s="117" t="s">
        <v>932</v>
      </c>
      <c r="BD187" s="124"/>
      <c r="BE187" s="117" t="s">
        <v>933</v>
      </c>
      <c r="BF187" s="117" t="s">
        <v>1691</v>
      </c>
      <c r="BG187" s="124"/>
      <c r="BH187" s="117" t="s">
        <v>1691</v>
      </c>
      <c r="BI187" s="117" t="s">
        <v>1707</v>
      </c>
      <c r="BJ187" s="117" t="s">
        <v>932</v>
      </c>
      <c r="BK187" s="117" t="s">
        <v>933</v>
      </c>
      <c r="BL187" s="124"/>
      <c r="BM187" s="117" t="s">
        <v>932</v>
      </c>
      <c r="BN187" s="124"/>
      <c r="BO187" s="117" t="s">
        <v>933</v>
      </c>
      <c r="BP187" s="117" t="s">
        <v>1691</v>
      </c>
      <c r="BQ187" s="117" t="s">
        <v>933</v>
      </c>
      <c r="BR187" s="124"/>
      <c r="BS187" s="117">
        <v>300</v>
      </c>
      <c r="BT187" s="117" t="s">
        <v>946</v>
      </c>
      <c r="BU187" s="117" t="s">
        <v>932</v>
      </c>
      <c r="BV187" s="117">
        <v>242</v>
      </c>
      <c r="BW187" s="117" t="s">
        <v>1877</v>
      </c>
      <c r="BX187" s="117">
        <v>6.05</v>
      </c>
      <c r="BY187" s="117" t="s">
        <v>1443</v>
      </c>
      <c r="BZ187" s="124"/>
      <c r="CA187" s="124"/>
      <c r="CB187" s="117" t="s">
        <v>932</v>
      </c>
      <c r="CC187" s="117" t="s">
        <v>190</v>
      </c>
      <c r="CD187" s="117" t="s">
        <v>932</v>
      </c>
      <c r="CE187" s="117" t="s">
        <v>932</v>
      </c>
      <c r="CF187" s="117" t="s">
        <v>1691</v>
      </c>
      <c r="CG187" s="117" t="s">
        <v>1691</v>
      </c>
      <c r="CH187" s="117" t="s">
        <v>932</v>
      </c>
      <c r="CI187" s="117" t="s">
        <v>932</v>
      </c>
    </row>
    <row r="188" spans="1:87" s="117" customFormat="1" ht="42">
      <c r="A188" s="114">
        <v>41744.366168981483</v>
      </c>
      <c r="B188" s="115">
        <v>41744.366168981483</v>
      </c>
      <c r="C188" s="114">
        <v>41744.426979166667</v>
      </c>
      <c r="D188" s="115">
        <v>41744.426979166667</v>
      </c>
      <c r="E188" s="116" t="s">
        <v>1878</v>
      </c>
      <c r="F188" s="122" t="s">
        <v>1879</v>
      </c>
      <c r="G188" s="117" t="s">
        <v>1677</v>
      </c>
      <c r="H188" s="124"/>
      <c r="I188" s="117">
        <v>404</v>
      </c>
      <c r="J188" s="118" t="s">
        <v>998</v>
      </c>
      <c r="K188" s="117" t="s">
        <v>1824</v>
      </c>
      <c r="L188" s="117" t="s">
        <v>966</v>
      </c>
      <c r="M188" s="117" t="s">
        <v>932</v>
      </c>
      <c r="N188" s="117" t="s">
        <v>932</v>
      </c>
      <c r="O188" s="117" t="s">
        <v>932</v>
      </c>
      <c r="P188" s="117" t="s">
        <v>932</v>
      </c>
      <c r="Q188" s="117" t="s">
        <v>934</v>
      </c>
      <c r="R188" s="117" t="s">
        <v>932</v>
      </c>
      <c r="S188" s="117" t="s">
        <v>932</v>
      </c>
      <c r="T188" s="119" t="s">
        <v>932</v>
      </c>
      <c r="U188" s="117" t="s">
        <v>932</v>
      </c>
      <c r="V188" s="117" t="s">
        <v>932</v>
      </c>
      <c r="W188" s="117" t="s">
        <v>932</v>
      </c>
      <c r="X188" s="117" t="s">
        <v>934</v>
      </c>
      <c r="Y188" s="117" t="s">
        <v>934</v>
      </c>
      <c r="Z188" s="117" t="s">
        <v>934</v>
      </c>
      <c r="AA188" s="117" t="s">
        <v>934</v>
      </c>
      <c r="AB188" s="117" t="s">
        <v>934</v>
      </c>
      <c r="AC188" s="117" t="s">
        <v>932</v>
      </c>
      <c r="AD188" s="117" t="s">
        <v>932</v>
      </c>
      <c r="AE188" s="117" t="s">
        <v>934</v>
      </c>
      <c r="AF188" s="117" t="s">
        <v>934</v>
      </c>
      <c r="AG188" s="117" t="s">
        <v>934</v>
      </c>
      <c r="AH188" s="117" t="s">
        <v>934</v>
      </c>
      <c r="AI188" s="117" t="s">
        <v>934</v>
      </c>
      <c r="AJ188" s="117" t="s">
        <v>1062</v>
      </c>
      <c r="AK188" s="117" t="s">
        <v>1779</v>
      </c>
      <c r="AL188" s="117" t="s">
        <v>943</v>
      </c>
      <c r="AM188" s="117" t="s">
        <v>992</v>
      </c>
      <c r="AN188" s="117" t="s">
        <v>932</v>
      </c>
      <c r="AO188" s="117" t="s">
        <v>1880</v>
      </c>
      <c r="AP188" s="117" t="s">
        <v>940</v>
      </c>
      <c r="AQ188" s="117" t="s">
        <v>1330</v>
      </c>
      <c r="AR188" s="117" t="s">
        <v>992</v>
      </c>
      <c r="AS188" s="117" t="s">
        <v>958</v>
      </c>
      <c r="AT188" s="117" t="s">
        <v>933</v>
      </c>
      <c r="AU188" s="117" t="s">
        <v>932</v>
      </c>
      <c r="AV188" s="117" t="s">
        <v>933</v>
      </c>
      <c r="AW188" s="117" t="s">
        <v>944</v>
      </c>
      <c r="AX188" s="117" t="s">
        <v>933</v>
      </c>
      <c r="AY188" s="117" t="s">
        <v>944</v>
      </c>
      <c r="AZ188" s="117">
        <v>0.05</v>
      </c>
      <c r="BA188" s="117" t="s">
        <v>932</v>
      </c>
      <c r="BB188" s="117" t="s">
        <v>933</v>
      </c>
      <c r="BC188" s="117" t="s">
        <v>932</v>
      </c>
      <c r="BD188" s="124"/>
      <c r="BE188" s="117" t="s">
        <v>933</v>
      </c>
      <c r="BF188" s="117">
        <v>1</v>
      </c>
      <c r="BG188" s="124"/>
      <c r="BH188" s="117">
        <v>15</v>
      </c>
      <c r="BI188" s="117" t="s">
        <v>1707</v>
      </c>
      <c r="BJ188" s="117" t="s">
        <v>932</v>
      </c>
      <c r="BK188" s="117" t="s">
        <v>932</v>
      </c>
      <c r="BL188" s="117">
        <v>1</v>
      </c>
      <c r="BM188" s="117" t="s">
        <v>932</v>
      </c>
      <c r="BN188" s="124"/>
      <c r="BO188" s="117" t="s">
        <v>932</v>
      </c>
      <c r="BP188" s="124"/>
      <c r="BQ188" s="124"/>
      <c r="BR188" s="124"/>
      <c r="BS188" s="117">
        <v>200</v>
      </c>
      <c r="BT188" s="117" t="s">
        <v>946</v>
      </c>
      <c r="BU188" s="117" t="s">
        <v>932</v>
      </c>
      <c r="BV188" s="117">
        <v>404</v>
      </c>
      <c r="BW188" s="117" t="s">
        <v>1881</v>
      </c>
      <c r="BX188" s="117">
        <v>6.05</v>
      </c>
      <c r="BY188" s="117" t="s">
        <v>1443</v>
      </c>
      <c r="BZ188" s="124"/>
      <c r="CA188" s="124"/>
      <c r="CB188" s="117" t="s">
        <v>932</v>
      </c>
      <c r="CC188" s="117" t="s">
        <v>190</v>
      </c>
      <c r="CD188" s="117" t="s">
        <v>932</v>
      </c>
      <c r="CE188" s="117" t="s">
        <v>932</v>
      </c>
      <c r="CF188" s="117">
        <v>28</v>
      </c>
      <c r="CG188" s="117">
        <v>0.5</v>
      </c>
      <c r="CH188" s="117" t="s">
        <v>932</v>
      </c>
      <c r="CI188" s="117" t="s">
        <v>932</v>
      </c>
    </row>
    <row r="189" spans="1:87" s="117" customFormat="1" ht="25.5">
      <c r="A189" s="114">
        <v>41744.441134259258</v>
      </c>
      <c r="B189" s="115">
        <v>41744.441134259258</v>
      </c>
      <c r="C189" s="114">
        <v>41744.456087962964</v>
      </c>
      <c r="D189" s="115">
        <v>41744.456087962964</v>
      </c>
      <c r="E189" s="116" t="s">
        <v>1882</v>
      </c>
      <c r="F189" s="122" t="s">
        <v>1740</v>
      </c>
      <c r="G189" s="117" t="s">
        <v>1808</v>
      </c>
      <c r="H189" s="124"/>
      <c r="I189" s="117">
        <v>108</v>
      </c>
      <c r="J189" s="118" t="s">
        <v>1728</v>
      </c>
      <c r="K189" s="117" t="s">
        <v>1742</v>
      </c>
      <c r="L189" s="117" t="s">
        <v>931</v>
      </c>
      <c r="M189" s="117" t="s">
        <v>932</v>
      </c>
      <c r="N189" s="117" t="s">
        <v>932</v>
      </c>
      <c r="O189" s="117" t="s">
        <v>932</v>
      </c>
      <c r="P189" s="117" t="s">
        <v>932</v>
      </c>
      <c r="Q189" s="117" t="s">
        <v>932</v>
      </c>
      <c r="R189" s="117" t="s">
        <v>932</v>
      </c>
      <c r="S189" s="117" t="s">
        <v>932</v>
      </c>
      <c r="T189" s="119" t="s">
        <v>932</v>
      </c>
      <c r="U189" s="117" t="s">
        <v>932</v>
      </c>
      <c r="V189" s="117" t="s">
        <v>932</v>
      </c>
      <c r="W189" s="117" t="s">
        <v>932</v>
      </c>
      <c r="X189" s="117" t="s">
        <v>932</v>
      </c>
      <c r="Y189" s="117" t="s">
        <v>934</v>
      </c>
      <c r="Z189" s="117" t="s">
        <v>932</v>
      </c>
      <c r="AA189" s="117" t="s">
        <v>932</v>
      </c>
      <c r="AB189" s="117" t="s">
        <v>934</v>
      </c>
      <c r="AC189" s="117" t="s">
        <v>932</v>
      </c>
      <c r="AD189" s="117" t="s">
        <v>934</v>
      </c>
      <c r="AE189" s="117" t="s">
        <v>934</v>
      </c>
      <c r="AF189" s="117" t="s">
        <v>932</v>
      </c>
      <c r="AG189" s="117" t="s">
        <v>932</v>
      </c>
      <c r="AH189" s="117" t="s">
        <v>933</v>
      </c>
      <c r="AI189" s="117" t="s">
        <v>933</v>
      </c>
      <c r="AJ189" s="117" t="s">
        <v>1722</v>
      </c>
      <c r="AK189" s="117" t="s">
        <v>1883</v>
      </c>
      <c r="AL189" s="117" t="s">
        <v>1722</v>
      </c>
      <c r="AM189" s="117" t="s">
        <v>1744</v>
      </c>
      <c r="AN189" s="117" t="s">
        <v>932</v>
      </c>
      <c r="AO189" s="124"/>
      <c r="AP189" s="117" t="s">
        <v>1749</v>
      </c>
      <c r="AQ189" s="117" t="s">
        <v>1750</v>
      </c>
      <c r="AR189" s="117" t="s">
        <v>1744</v>
      </c>
      <c r="AS189" s="117" t="s">
        <v>1722</v>
      </c>
      <c r="AT189" s="117" t="s">
        <v>933</v>
      </c>
      <c r="AU189" s="117" t="s">
        <v>933</v>
      </c>
      <c r="AV189" s="117" t="s">
        <v>932</v>
      </c>
      <c r="AW189" s="117">
        <v>1.2</v>
      </c>
      <c r="AX189" s="117" t="s">
        <v>933</v>
      </c>
      <c r="AY189" s="117" t="s">
        <v>1811</v>
      </c>
      <c r="AZ189" s="117">
        <v>1.2</v>
      </c>
      <c r="BA189" s="117" t="s">
        <v>932</v>
      </c>
      <c r="BB189" s="124"/>
      <c r="BC189" s="124"/>
      <c r="BD189" s="124"/>
      <c r="BE189" s="124"/>
      <c r="BF189" s="124"/>
      <c r="BG189" s="124"/>
      <c r="BH189" s="124"/>
      <c r="BI189" s="117" t="s">
        <v>1884</v>
      </c>
      <c r="BJ189" s="117" t="s">
        <v>932</v>
      </c>
      <c r="BK189" s="117" t="s">
        <v>932</v>
      </c>
      <c r="BL189" s="117">
        <v>1</v>
      </c>
      <c r="BM189" s="117" t="s">
        <v>932</v>
      </c>
      <c r="BN189" s="124"/>
      <c r="BO189" s="117" t="s">
        <v>932</v>
      </c>
      <c r="BP189" s="117">
        <v>0</v>
      </c>
      <c r="BQ189" s="124"/>
      <c r="BR189" s="124"/>
      <c r="BS189" s="117">
        <v>100</v>
      </c>
      <c r="BT189" s="117" t="s">
        <v>1737</v>
      </c>
      <c r="BU189" s="124"/>
      <c r="BV189" s="117">
        <v>108</v>
      </c>
      <c r="BW189" s="117" t="s">
        <v>1885</v>
      </c>
      <c r="BX189" s="117">
        <v>6.05</v>
      </c>
      <c r="BY189" s="117" t="s">
        <v>1442</v>
      </c>
      <c r="BZ189" s="124"/>
      <c r="CA189" s="124"/>
      <c r="CB189" s="117" t="s">
        <v>932</v>
      </c>
      <c r="CC189" s="117" t="s">
        <v>190</v>
      </c>
      <c r="CD189" s="117" t="s">
        <v>932</v>
      </c>
      <c r="CE189" s="117" t="s">
        <v>932</v>
      </c>
      <c r="CF189" s="117">
        <v>30</v>
      </c>
      <c r="CG189" s="117">
        <v>0.2</v>
      </c>
      <c r="CH189" s="117" t="s">
        <v>932</v>
      </c>
      <c r="CI189" s="117" t="s">
        <v>932</v>
      </c>
    </row>
    <row r="190" spans="1:87" s="117" customFormat="1" ht="25.5">
      <c r="A190" s="114">
        <v>41744.456400462965</v>
      </c>
      <c r="B190" s="115">
        <v>41744.456400462965</v>
      </c>
      <c r="C190" s="114">
        <v>41744.493356481478</v>
      </c>
      <c r="D190" s="115">
        <v>41744.493356481478</v>
      </c>
      <c r="E190" s="116" t="s">
        <v>1886</v>
      </c>
      <c r="F190" s="122" t="s">
        <v>1887</v>
      </c>
      <c r="G190" s="117" t="s">
        <v>1888</v>
      </c>
      <c r="H190" s="117">
        <v>9895512624</v>
      </c>
      <c r="I190" s="117">
        <v>272</v>
      </c>
      <c r="J190" s="118" t="s">
        <v>998</v>
      </c>
      <c r="K190" s="117" t="s">
        <v>1450</v>
      </c>
      <c r="L190" s="117" t="s">
        <v>931</v>
      </c>
      <c r="M190" s="124"/>
      <c r="N190" s="124"/>
      <c r="O190" s="124"/>
      <c r="P190" s="124"/>
      <c r="Q190" s="124"/>
      <c r="R190" s="124"/>
      <c r="S190" s="124"/>
      <c r="T190" s="124"/>
      <c r="U190" s="124"/>
      <c r="V190" s="124"/>
      <c r="W190" s="124"/>
      <c r="X190" s="124"/>
      <c r="Y190" s="124"/>
      <c r="Z190" s="124"/>
      <c r="AA190" s="124"/>
      <c r="AB190" s="124"/>
      <c r="AC190" s="124"/>
      <c r="AD190" s="124"/>
      <c r="AE190" s="124"/>
      <c r="AF190" s="124"/>
      <c r="AG190" s="124"/>
      <c r="AH190" s="124"/>
      <c r="AI190" s="124"/>
      <c r="AJ190" s="124"/>
      <c r="AK190" s="117" t="s">
        <v>1176</v>
      </c>
      <c r="AL190" s="117" t="s">
        <v>943</v>
      </c>
      <c r="AM190" s="117" t="s">
        <v>1300</v>
      </c>
      <c r="AN190" s="117" t="s">
        <v>932</v>
      </c>
      <c r="AO190" s="124"/>
      <c r="AP190" s="117" t="s">
        <v>955</v>
      </c>
      <c r="AQ190" s="117" t="s">
        <v>1889</v>
      </c>
      <c r="AR190" s="117" t="s">
        <v>943</v>
      </c>
      <c r="AS190" s="117" t="s">
        <v>943</v>
      </c>
      <c r="AT190" s="117" t="s">
        <v>933</v>
      </c>
      <c r="AU190" s="117" t="s">
        <v>933</v>
      </c>
      <c r="AV190" s="117" t="s">
        <v>933</v>
      </c>
      <c r="AW190" s="117">
        <v>15.4</v>
      </c>
      <c r="AX190" s="117" t="s">
        <v>933</v>
      </c>
      <c r="AY190" s="117">
        <v>13.5</v>
      </c>
      <c r="AZ190" s="117">
        <v>16.100000000000001</v>
      </c>
      <c r="BA190" s="117" t="s">
        <v>932</v>
      </c>
      <c r="BB190" s="117" t="s">
        <v>932</v>
      </c>
      <c r="BC190" s="117" t="s">
        <v>932</v>
      </c>
      <c r="BD190" s="117" t="s">
        <v>932</v>
      </c>
      <c r="BE190" s="117" t="s">
        <v>932</v>
      </c>
      <c r="BF190" s="117">
        <v>0</v>
      </c>
      <c r="BG190" s="124"/>
      <c r="BH190" s="117">
        <v>15</v>
      </c>
      <c r="BI190" s="117" t="s">
        <v>1890</v>
      </c>
      <c r="BJ190" s="117" t="s">
        <v>932</v>
      </c>
      <c r="BK190" s="117" t="s">
        <v>932</v>
      </c>
      <c r="BL190" s="117">
        <v>1</v>
      </c>
      <c r="BM190" s="117" t="s">
        <v>932</v>
      </c>
      <c r="BN190" s="124"/>
      <c r="BO190" s="117" t="s">
        <v>932</v>
      </c>
      <c r="BP190" s="117">
        <v>0</v>
      </c>
      <c r="BQ190" s="124"/>
      <c r="BR190" s="124"/>
      <c r="BS190" s="117">
        <v>50</v>
      </c>
      <c r="BT190" s="117" t="s">
        <v>946</v>
      </c>
      <c r="BU190" s="117" t="s">
        <v>932</v>
      </c>
      <c r="BV190" s="117">
        <v>272</v>
      </c>
      <c r="BW190" s="117" t="s">
        <v>1891</v>
      </c>
      <c r="BX190" s="117">
        <v>6.05</v>
      </c>
      <c r="BY190" s="117" t="s">
        <v>190</v>
      </c>
      <c r="BZ190" s="124"/>
      <c r="CA190" s="124"/>
      <c r="CB190" s="124"/>
      <c r="CC190" s="117" t="s">
        <v>1443</v>
      </c>
      <c r="CD190" s="117" t="s">
        <v>932</v>
      </c>
      <c r="CE190" s="117" t="s">
        <v>932</v>
      </c>
      <c r="CF190" s="117">
        <v>25</v>
      </c>
      <c r="CG190" s="117">
        <v>1</v>
      </c>
      <c r="CH190" s="117" t="s">
        <v>932</v>
      </c>
      <c r="CI190" s="117" t="s">
        <v>932</v>
      </c>
    </row>
    <row r="191" spans="1:87" s="117" customFormat="1" ht="25.5">
      <c r="A191" s="114">
        <v>41744.476921296293</v>
      </c>
      <c r="B191" s="115">
        <v>41744.476921296293</v>
      </c>
      <c r="C191" s="114">
        <v>41744.478472222225</v>
      </c>
      <c r="D191" s="115">
        <v>41744.478472222225</v>
      </c>
      <c r="E191" s="116" t="s">
        <v>1892</v>
      </c>
      <c r="F191" s="122" t="s">
        <v>1872</v>
      </c>
      <c r="G191" s="124"/>
      <c r="H191" s="124"/>
      <c r="I191" s="117">
        <v>241</v>
      </c>
      <c r="J191" s="118" t="s">
        <v>998</v>
      </c>
      <c r="K191" s="117" t="s">
        <v>1665</v>
      </c>
      <c r="L191" s="117" t="s">
        <v>931</v>
      </c>
      <c r="M191" s="117" t="s">
        <v>932</v>
      </c>
      <c r="N191" s="117" t="s">
        <v>932</v>
      </c>
      <c r="O191" s="117" t="s">
        <v>932</v>
      </c>
      <c r="P191" s="117" t="s">
        <v>932</v>
      </c>
      <c r="Q191" s="117" t="s">
        <v>932</v>
      </c>
      <c r="R191" s="117" t="s">
        <v>932</v>
      </c>
      <c r="S191" s="117" t="s">
        <v>932</v>
      </c>
      <c r="T191" s="119" t="s">
        <v>932</v>
      </c>
      <c r="U191" s="117" t="s">
        <v>932</v>
      </c>
      <c r="V191" s="117" t="s">
        <v>932</v>
      </c>
      <c r="W191" s="117" t="s">
        <v>932</v>
      </c>
      <c r="X191" s="117" t="s">
        <v>932</v>
      </c>
      <c r="Y191" s="117" t="s">
        <v>934</v>
      </c>
      <c r="Z191" s="117" t="s">
        <v>934</v>
      </c>
      <c r="AA191" s="117" t="s">
        <v>932</v>
      </c>
      <c r="AB191" s="117" t="s">
        <v>934</v>
      </c>
      <c r="AC191" s="117" t="s">
        <v>934</v>
      </c>
      <c r="AD191" s="117" t="s">
        <v>934</v>
      </c>
      <c r="AE191" s="117" t="s">
        <v>934</v>
      </c>
      <c r="AF191" s="117" t="s">
        <v>934</v>
      </c>
      <c r="AG191" s="117" t="s">
        <v>934</v>
      </c>
      <c r="AH191" s="117" t="s">
        <v>934</v>
      </c>
      <c r="AI191" s="117" t="s">
        <v>934</v>
      </c>
      <c r="AJ191" s="117" t="s">
        <v>943</v>
      </c>
      <c r="AK191" s="117" t="s">
        <v>1656</v>
      </c>
      <c r="AL191" s="117" t="s">
        <v>943</v>
      </c>
      <c r="AM191" s="117" t="s">
        <v>992</v>
      </c>
      <c r="AN191" s="117" t="s">
        <v>932</v>
      </c>
      <c r="AO191" s="124"/>
      <c r="AP191" s="117" t="s">
        <v>940</v>
      </c>
      <c r="AQ191" s="117" t="s">
        <v>1330</v>
      </c>
      <c r="AR191" s="117" t="s">
        <v>992</v>
      </c>
      <c r="AS191" s="117" t="s">
        <v>943</v>
      </c>
      <c r="AT191" s="117" t="s">
        <v>933</v>
      </c>
      <c r="AU191" s="117" t="s">
        <v>933</v>
      </c>
      <c r="AV191" s="117" t="s">
        <v>933</v>
      </c>
      <c r="AW191" s="117">
        <v>24.2</v>
      </c>
      <c r="AX191" s="124"/>
      <c r="AY191" s="117">
        <v>24.2</v>
      </c>
      <c r="AZ191" s="117">
        <v>24.2</v>
      </c>
      <c r="BA191" s="117" t="s">
        <v>932</v>
      </c>
      <c r="BB191" s="117" t="s">
        <v>932</v>
      </c>
      <c r="BC191" s="117" t="s">
        <v>932</v>
      </c>
      <c r="BD191" s="117" t="s">
        <v>932</v>
      </c>
      <c r="BE191" s="117" t="s">
        <v>932</v>
      </c>
      <c r="BF191" s="117">
        <v>1</v>
      </c>
      <c r="BG191" s="124"/>
      <c r="BH191" s="117">
        <v>15</v>
      </c>
      <c r="BI191" s="117" t="s">
        <v>1768</v>
      </c>
      <c r="BJ191" s="117" t="s">
        <v>932</v>
      </c>
      <c r="BK191" s="117" t="s">
        <v>932</v>
      </c>
      <c r="BL191" s="117">
        <v>1</v>
      </c>
      <c r="BM191" s="117" t="s">
        <v>932</v>
      </c>
      <c r="BN191" s="117" t="s">
        <v>932</v>
      </c>
      <c r="BO191" s="117" t="s">
        <v>932</v>
      </c>
      <c r="BP191" s="124"/>
      <c r="BQ191" s="124"/>
      <c r="BR191" s="124"/>
      <c r="BS191" s="117">
        <v>200</v>
      </c>
      <c r="BT191" s="124"/>
      <c r="BU191" s="124"/>
      <c r="BV191" s="124"/>
      <c r="BW191" s="124"/>
      <c r="BX191" s="124"/>
      <c r="BY191" s="124"/>
      <c r="BZ191" s="124"/>
      <c r="CA191" s="124"/>
      <c r="CB191" s="124"/>
      <c r="CC191" s="124"/>
      <c r="CD191" s="124"/>
      <c r="CE191" s="124"/>
      <c r="CF191" s="124"/>
      <c r="CG191" s="124"/>
      <c r="CH191" s="124"/>
      <c r="CI191" s="124"/>
    </row>
    <row r="192" spans="1:87" s="117" customFormat="1" ht="25.5">
      <c r="A192" s="114">
        <v>41744.541134259256</v>
      </c>
      <c r="B192" s="115">
        <v>41744.541134259256</v>
      </c>
      <c r="C192" s="124"/>
      <c r="D192" s="124"/>
      <c r="E192" s="116" t="s">
        <v>1893</v>
      </c>
      <c r="F192" s="122" t="s">
        <v>1740</v>
      </c>
      <c r="G192" s="117" t="s">
        <v>1808</v>
      </c>
      <c r="H192" s="124"/>
      <c r="I192" s="117">
        <v>195</v>
      </c>
      <c r="J192" s="118" t="s">
        <v>1789</v>
      </c>
      <c r="K192" s="124"/>
      <c r="L192" s="117" t="s">
        <v>966</v>
      </c>
      <c r="M192" s="117" t="s">
        <v>932</v>
      </c>
      <c r="N192" s="117" t="s">
        <v>932</v>
      </c>
      <c r="O192" s="117" t="s">
        <v>932</v>
      </c>
      <c r="P192" s="117" t="s">
        <v>934</v>
      </c>
      <c r="Q192" s="117" t="s">
        <v>934</v>
      </c>
      <c r="R192" s="117" t="s">
        <v>934</v>
      </c>
      <c r="S192" s="117" t="s">
        <v>934</v>
      </c>
      <c r="T192" s="119" t="s">
        <v>934</v>
      </c>
      <c r="U192" s="117" t="s">
        <v>934</v>
      </c>
      <c r="V192" s="117" t="s">
        <v>932</v>
      </c>
      <c r="W192" s="117" t="s">
        <v>932</v>
      </c>
      <c r="X192" s="117" t="s">
        <v>934</v>
      </c>
      <c r="Y192" s="117" t="s">
        <v>934</v>
      </c>
      <c r="Z192" s="117" t="s">
        <v>934</v>
      </c>
      <c r="AA192" s="117" t="s">
        <v>934</v>
      </c>
      <c r="AB192" s="117" t="s">
        <v>934</v>
      </c>
      <c r="AC192" s="117" t="s">
        <v>934</v>
      </c>
      <c r="AD192" s="117" t="s">
        <v>934</v>
      </c>
      <c r="AE192" s="117" t="s">
        <v>934</v>
      </c>
      <c r="AF192" s="117" t="s">
        <v>934</v>
      </c>
      <c r="AG192" s="117" t="s">
        <v>934</v>
      </c>
      <c r="AH192" s="117" t="s">
        <v>934</v>
      </c>
      <c r="AI192" s="117" t="s">
        <v>934</v>
      </c>
      <c r="AJ192" s="117" t="s">
        <v>1722</v>
      </c>
      <c r="AK192" s="117" t="s">
        <v>1894</v>
      </c>
      <c r="AL192" s="117" t="s">
        <v>1722</v>
      </c>
      <c r="AM192" s="117" t="s">
        <v>1723</v>
      </c>
      <c r="AN192" s="117" t="s">
        <v>932</v>
      </c>
      <c r="AO192" s="117" t="s">
        <v>1895</v>
      </c>
      <c r="AP192" s="117" t="s">
        <v>1182</v>
      </c>
      <c r="AQ192" s="117">
        <v>1680</v>
      </c>
      <c r="AR192" s="117" t="s">
        <v>1896</v>
      </c>
      <c r="AS192" s="117" t="s">
        <v>1722</v>
      </c>
      <c r="AT192" s="117" t="s">
        <v>933</v>
      </c>
      <c r="AU192" s="117" t="s">
        <v>933</v>
      </c>
      <c r="AV192" s="124"/>
      <c r="AW192" s="117">
        <v>10.5</v>
      </c>
      <c r="AX192" s="124"/>
      <c r="AY192" s="117">
        <v>10.5</v>
      </c>
      <c r="AZ192" s="117">
        <v>10.5</v>
      </c>
      <c r="BA192" s="117" t="s">
        <v>932</v>
      </c>
      <c r="BB192" s="117" t="s">
        <v>932</v>
      </c>
      <c r="BC192" s="117" t="s">
        <v>932</v>
      </c>
      <c r="BD192" s="117" t="s">
        <v>932</v>
      </c>
      <c r="BE192" s="117" t="s">
        <v>932</v>
      </c>
      <c r="BF192" s="117">
        <v>0</v>
      </c>
      <c r="BG192" s="124"/>
      <c r="BH192" s="117">
        <v>5</v>
      </c>
      <c r="BI192" s="117" t="s">
        <v>1751</v>
      </c>
      <c r="BJ192" s="117" t="s">
        <v>932</v>
      </c>
      <c r="BK192" s="117" t="s">
        <v>932</v>
      </c>
      <c r="BL192" s="124"/>
      <c r="BM192" s="124"/>
      <c r="BN192" s="124"/>
      <c r="BO192" s="117" t="s">
        <v>932</v>
      </c>
      <c r="BP192" s="124"/>
      <c r="BQ192" s="124"/>
      <c r="BR192" s="124"/>
      <c r="BS192" s="117">
        <v>1000</v>
      </c>
      <c r="BT192" s="117" t="s">
        <v>1737</v>
      </c>
      <c r="BU192" s="124"/>
      <c r="BV192" s="117">
        <v>195</v>
      </c>
      <c r="BW192" s="117" t="s">
        <v>1897</v>
      </c>
      <c r="BX192" s="117">
        <v>6.05</v>
      </c>
      <c r="BY192" s="117">
        <v>21</v>
      </c>
      <c r="BZ192" s="124"/>
      <c r="CA192" s="124"/>
      <c r="CB192" s="117" t="s">
        <v>932</v>
      </c>
      <c r="CC192" s="117" t="s">
        <v>190</v>
      </c>
      <c r="CD192" s="117" t="s">
        <v>932</v>
      </c>
      <c r="CE192" s="117" t="s">
        <v>932</v>
      </c>
      <c r="CF192" s="124"/>
      <c r="CG192" s="124"/>
      <c r="CH192" s="117" t="s">
        <v>932</v>
      </c>
      <c r="CI192" s="117" t="s">
        <v>932</v>
      </c>
    </row>
  </sheetData>
  <conditionalFormatting sqref="E3:E192">
    <cfRule type="duplicateValues" dxfId="18" priority="2"/>
  </conditionalFormatting>
  <pageMargins left="0.7" right="0.7" top="0.75" bottom="0.75" header="0.3" footer="0.3"/>
  <pageSetup scale="5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5"/>
  <dimension ref="A1:XFD1048572"/>
  <sheetViews>
    <sheetView workbookViewId="0">
      <selection activeCell="A12" sqref="A12"/>
    </sheetView>
  </sheetViews>
  <sheetFormatPr defaultRowHeight="15"/>
  <cols>
    <col min="1" max="1" width="13.7109375" bestFit="1" customWidth="1"/>
    <col min="2" max="2" width="14.140625" bestFit="1" customWidth="1"/>
    <col min="3" max="3" width="15.140625" bestFit="1" customWidth="1"/>
    <col min="4" max="4" width="15.5703125" customWidth="1"/>
    <col min="5" max="5" width="12.28515625" customWidth="1"/>
    <col min="6" max="6" width="17.28515625" customWidth="1"/>
    <col min="7" max="7" width="6.7109375" bestFit="1" customWidth="1"/>
    <col min="8" max="8" width="16.42578125" bestFit="1" customWidth="1"/>
    <col min="9" max="10" width="11.7109375" customWidth="1"/>
    <col min="11" max="11" width="11" customWidth="1"/>
    <col min="12" max="12" width="9.7109375" customWidth="1"/>
    <col min="13" max="13" width="26.42578125" bestFit="1" customWidth="1"/>
    <col min="14" max="14" width="16.7109375" bestFit="1" customWidth="1"/>
    <col min="15" max="15" width="44" bestFit="1" customWidth="1"/>
    <col min="16" max="16" width="13.140625" customWidth="1"/>
  </cols>
  <sheetData>
    <row r="1" spans="1:16" s="9" customFormat="1" ht="51" customHeight="1" thickBot="1">
      <c r="A1" s="6" t="s">
        <v>16</v>
      </c>
      <c r="B1" s="3">
        <f>'Vehicle Metrics'!A4</f>
        <v>100</v>
      </c>
      <c r="C1" s="6" t="s">
        <v>49</v>
      </c>
      <c r="D1" s="3">
        <f>'Vehicle Metrics'!A5</f>
        <v>100</v>
      </c>
      <c r="E1" s="6" t="s">
        <v>50</v>
      </c>
      <c r="F1" s="4">
        <f>'Vehicle Metrics'!A11</f>
        <v>0</v>
      </c>
      <c r="G1" s="147" t="s">
        <v>432</v>
      </c>
      <c r="H1" s="148"/>
      <c r="I1" s="137" t="str">
        <f ca="1">MID(CELL("filename",B1),FIND("]",CELL("filename",B1),1)+1,255)</f>
        <v>Vehicle Metrics</v>
      </c>
      <c r="J1" s="138"/>
      <c r="K1" s="138"/>
      <c r="L1" s="139"/>
      <c r="M1" s="6" t="s">
        <v>53</v>
      </c>
      <c r="N1" s="5">
        <f>'Vehicle Metrics'!$A$6</f>
        <v>0</v>
      </c>
      <c r="O1" s="8"/>
      <c r="P1" s="1"/>
    </row>
    <row r="2" spans="1:16" ht="15.75" thickBot="1"/>
    <row r="3" spans="1:16" ht="15.75" thickBot="1">
      <c r="A3" s="100" t="s">
        <v>22</v>
      </c>
      <c r="B3" s="140" t="s">
        <v>21</v>
      </c>
      <c r="C3" s="141"/>
      <c r="D3" s="142"/>
    </row>
    <row r="4" spans="1:16" s="2" customFormat="1">
      <c r="A4" s="99">
        <v>100</v>
      </c>
      <c r="B4" s="143" t="s">
        <v>17</v>
      </c>
      <c r="C4" s="143"/>
      <c r="D4" s="144"/>
    </row>
    <row r="5" spans="1:16">
      <c r="A5" s="95">
        <f>A4-A10</f>
        <v>100</v>
      </c>
      <c r="B5" s="145" t="s">
        <v>46</v>
      </c>
      <c r="C5" s="145"/>
      <c r="D5" s="146"/>
    </row>
    <row r="6" spans="1:16">
      <c r="A6" s="98">
        <f>A10/A4</f>
        <v>0</v>
      </c>
      <c r="B6" s="145" t="s">
        <v>52</v>
      </c>
      <c r="C6" s="145"/>
      <c r="D6" s="146"/>
    </row>
    <row r="7" spans="1:16">
      <c r="A7" s="97" t="e">
        <f>SUM(A8/A10)</f>
        <v>#DIV/0!</v>
      </c>
      <c r="B7" s="145" t="s">
        <v>54</v>
      </c>
      <c r="C7" s="145"/>
      <c r="D7" s="146"/>
    </row>
    <row r="8" spans="1:16">
      <c r="A8" s="97">
        <v>0</v>
      </c>
      <c r="B8" s="145" t="s">
        <v>55</v>
      </c>
      <c r="C8" s="145"/>
      <c r="D8" s="146"/>
    </row>
    <row r="9" spans="1:16">
      <c r="A9" s="95">
        <v>0</v>
      </c>
      <c r="B9" s="145" t="s">
        <v>18</v>
      </c>
      <c r="C9" s="145"/>
      <c r="D9" s="146"/>
    </row>
    <row r="10" spans="1:16">
      <c r="A10" s="95">
        <v>0</v>
      </c>
      <c r="B10" s="145" t="s">
        <v>47</v>
      </c>
      <c r="C10" s="145"/>
      <c r="D10" s="146"/>
    </row>
    <row r="11" spans="1:16">
      <c r="A11" s="95">
        <f>A9-A10</f>
        <v>0</v>
      </c>
      <c r="B11" s="145" t="s">
        <v>48</v>
      </c>
      <c r="C11" s="145"/>
      <c r="D11" s="146"/>
    </row>
    <row r="12" spans="1:16">
      <c r="A12" s="95" t="e">
        <v>#VALUE!</v>
      </c>
      <c r="B12" s="145" t="s">
        <v>19</v>
      </c>
      <c r="C12" s="145"/>
      <c r="D12" s="146"/>
    </row>
    <row r="13" spans="1:16">
      <c r="A13" s="96" t="e">
        <v>#VALUE!</v>
      </c>
      <c r="B13" s="145" t="s">
        <v>23</v>
      </c>
      <c r="C13" s="145"/>
      <c r="D13" s="146"/>
    </row>
    <row r="14" spans="1:16">
      <c r="A14" s="96" t="e">
        <v>#VALUE!</v>
      </c>
      <c r="B14" s="145" t="s">
        <v>20</v>
      </c>
      <c r="C14" s="145"/>
      <c r="D14" s="146"/>
    </row>
    <row r="15" spans="1:16">
      <c r="A15" s="95" t="e">
        <v>#VALUE!</v>
      </c>
      <c r="B15" s="145" t="s">
        <v>136</v>
      </c>
      <c r="C15" s="145"/>
      <c r="D15" s="146"/>
    </row>
    <row r="16" spans="1:16">
      <c r="A16" s="95" t="e">
        <v>#VALUE!</v>
      </c>
      <c r="B16" s="151" t="s">
        <v>137</v>
      </c>
      <c r="C16" s="152"/>
      <c r="D16" s="153"/>
    </row>
    <row r="17" spans="1:4">
      <c r="A17" s="95" t="e">
        <v>#VALUE!</v>
      </c>
      <c r="B17" s="145" t="s">
        <v>145</v>
      </c>
      <c r="C17" s="145"/>
      <c r="D17" s="146"/>
    </row>
    <row r="18" spans="1:4">
      <c r="A18" s="95" t="e">
        <v>#VALUE!</v>
      </c>
      <c r="B18" s="145" t="s">
        <v>146</v>
      </c>
      <c r="C18" s="145"/>
      <c r="D18" s="146"/>
    </row>
    <row r="19" spans="1:4">
      <c r="A19" s="95">
        <v>0</v>
      </c>
      <c r="B19" s="145" t="s">
        <v>57</v>
      </c>
      <c r="C19" s="145"/>
      <c r="D19" s="146"/>
    </row>
    <row r="20" spans="1:4" ht="15.75" thickBot="1">
      <c r="A20" s="94" t="e">
        <v>#VALUE!</v>
      </c>
      <c r="B20" s="149" t="s">
        <v>51</v>
      </c>
      <c r="C20" s="149"/>
      <c r="D20" s="150"/>
    </row>
    <row r="21" spans="1:4">
      <c r="A21" s="93"/>
      <c r="B21" s="93"/>
    </row>
    <row r="22" spans="1:4">
      <c r="A22" s="93"/>
      <c r="B22" s="93"/>
    </row>
    <row r="23" spans="1:4">
      <c r="A23" s="93"/>
      <c r="B23" s="93"/>
    </row>
    <row r="37" spans="3:3">
      <c r="C37" s="93"/>
    </row>
    <row r="38" spans="3:3">
      <c r="C38" s="93"/>
    </row>
    <row r="39" spans="3:3">
      <c r="C39" s="93"/>
    </row>
    <row r="40" spans="3:3">
      <c r="C40" s="93"/>
    </row>
    <row r="65512" spans="1:1">
      <c r="A65512" s="92"/>
    </row>
    <row r="65515" spans="1:1">
      <c r="A65515" s="91" t="e">
        <f>SUM(A8/A10)*1450</f>
        <v>#DIV/0!</v>
      </c>
    </row>
    <row r="1048566" spans="16384:16384">
      <c r="XFD1048566" t="s">
        <v>130</v>
      </c>
    </row>
    <row r="1048567" spans="16384:16384">
      <c r="XFD1048567" t="s">
        <v>78</v>
      </c>
    </row>
    <row r="1048568" spans="16384:16384">
      <c r="XFD1048568" t="s">
        <v>81</v>
      </c>
    </row>
    <row r="1048569" spans="16384:16384">
      <c r="XFD1048569" t="s">
        <v>131</v>
      </c>
    </row>
    <row r="1048570" spans="16384:16384">
      <c r="XFD1048570" t="s">
        <v>132</v>
      </c>
    </row>
    <row r="1048571" spans="16384:16384">
      <c r="XFD1048571" t="s">
        <v>133</v>
      </c>
    </row>
    <row r="1048572" spans="16384:16384">
      <c r="XFD1048572" t="s">
        <v>134</v>
      </c>
    </row>
  </sheetData>
  <mergeCells count="20">
    <mergeCell ref="B11:D11"/>
    <mergeCell ref="B19:D19"/>
    <mergeCell ref="B20:D20"/>
    <mergeCell ref="B13:D13"/>
    <mergeCell ref="B14:D14"/>
    <mergeCell ref="B15:D15"/>
    <mergeCell ref="B16:D16"/>
    <mergeCell ref="B17:D17"/>
    <mergeCell ref="B18:D18"/>
    <mergeCell ref="B12:D12"/>
    <mergeCell ref="I1:L1"/>
    <mergeCell ref="B3:D3"/>
    <mergeCell ref="B4:D4"/>
    <mergeCell ref="B5:D5"/>
    <mergeCell ref="B10:D10"/>
    <mergeCell ref="B6:D6"/>
    <mergeCell ref="B7:D7"/>
    <mergeCell ref="B8:D8"/>
    <mergeCell ref="B9:D9"/>
    <mergeCell ref="G1:H1"/>
  </mergeCells>
  <conditionalFormatting sqref="N1">
    <cfRule type="iconSet" priority="1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AA461"/>
  <sheetViews>
    <sheetView showGridLines="0" zoomScaleNormal="100" workbookViewId="0">
      <pane ySplit="2" topLeftCell="A3" activePane="bottomLeft" state="frozen"/>
      <selection activeCell="B27" sqref="B27:D27"/>
      <selection pane="bottomLeft" activeCell="A22" sqref="A22"/>
    </sheetView>
  </sheetViews>
  <sheetFormatPr defaultRowHeight="15"/>
  <cols>
    <col min="1" max="1" width="13.7109375" style="17" bestFit="1" customWidth="1"/>
    <col min="2" max="2" width="14.140625" style="18" bestFit="1" customWidth="1"/>
    <col min="3" max="3" width="15.140625" style="17" bestFit="1" customWidth="1"/>
    <col min="4" max="4" width="15.5703125" style="18" customWidth="1"/>
    <col min="5" max="5" width="12.28515625" style="19" customWidth="1"/>
    <col min="6" max="6" width="17.28515625" style="57" customWidth="1"/>
    <col min="7" max="7" width="6.7109375" style="19" bestFit="1" customWidth="1"/>
    <col min="8" max="8" width="20.140625" style="19" customWidth="1"/>
    <col min="9" max="10" width="11.7109375" style="19" customWidth="1"/>
    <col min="11" max="11" width="11" style="19" customWidth="1"/>
    <col min="12" max="12" width="14.140625" style="19" customWidth="1"/>
    <col min="13" max="13" width="26.42578125" style="19" bestFit="1" customWidth="1"/>
    <col min="14" max="14" width="16.7109375" style="55" bestFit="1" customWidth="1"/>
    <col min="15" max="15" width="44" style="19" bestFit="1" customWidth="1"/>
    <col min="16" max="16" width="44" style="19" customWidth="1"/>
    <col min="17" max="17" width="14.5703125" style="60" customWidth="1"/>
    <col min="18" max="19" width="9.140625" style="19"/>
    <col min="20" max="20" width="15" style="19" customWidth="1"/>
    <col min="21" max="21" width="9.140625" style="19"/>
    <col min="22" max="22" width="44" style="19" customWidth="1"/>
    <col min="23" max="16384" width="9.140625" style="19"/>
  </cols>
  <sheetData>
    <row r="1" spans="1:27" s="56" customFormat="1" ht="51" customHeight="1" thickBot="1">
      <c r="A1" s="49" t="s">
        <v>16</v>
      </c>
      <c r="B1" s="50">
        <f>Metrics!A4</f>
        <v>425</v>
      </c>
      <c r="C1" s="51" t="s">
        <v>49</v>
      </c>
      <c r="D1" s="52">
        <f>Metrics!A5</f>
        <v>-34</v>
      </c>
      <c r="E1" s="53" t="s">
        <v>50</v>
      </c>
      <c r="F1" s="103">
        <f>Metrics!A11</f>
        <v>0</v>
      </c>
      <c r="G1" s="154"/>
      <c r="H1" s="155"/>
      <c r="I1" s="155"/>
      <c r="J1" s="155"/>
      <c r="K1" s="155"/>
      <c r="L1" s="156"/>
      <c r="M1" s="10" t="s">
        <v>53</v>
      </c>
      <c r="N1" s="54">
        <f>Metrics!$A$6</f>
        <v>1.08</v>
      </c>
      <c r="O1" s="11"/>
      <c r="P1" s="43"/>
      <c r="Q1" s="61"/>
    </row>
    <row r="2" spans="1:27" s="16" customFormat="1" ht="41.25" customHeight="1">
      <c r="A2" s="12" t="s">
        <v>0</v>
      </c>
      <c r="B2" s="13" t="s">
        <v>1</v>
      </c>
      <c r="C2" s="12" t="s">
        <v>2</v>
      </c>
      <c r="D2" s="13" t="s">
        <v>3</v>
      </c>
      <c r="E2" s="14" t="s">
        <v>4</v>
      </c>
      <c r="F2" s="58" t="s">
        <v>5</v>
      </c>
      <c r="G2" s="15" t="s">
        <v>6</v>
      </c>
      <c r="H2" s="15" t="s">
        <v>7</v>
      </c>
      <c r="I2" s="14" t="s">
        <v>8</v>
      </c>
      <c r="J2" s="14" t="s">
        <v>9</v>
      </c>
      <c r="K2" s="14" t="s">
        <v>12</v>
      </c>
      <c r="L2" s="15" t="s">
        <v>10</v>
      </c>
      <c r="M2" s="15" t="s">
        <v>13</v>
      </c>
      <c r="N2" s="14" t="s">
        <v>11</v>
      </c>
      <c r="O2" s="15" t="s">
        <v>155</v>
      </c>
      <c r="P2" s="15" t="s">
        <v>156</v>
      </c>
      <c r="Q2" s="62" t="s">
        <v>56</v>
      </c>
      <c r="R2" s="16" t="s">
        <v>14</v>
      </c>
      <c r="S2" s="16" t="s">
        <v>15</v>
      </c>
      <c r="T2" s="16" t="s">
        <v>364</v>
      </c>
      <c r="U2" s="15" t="s">
        <v>6</v>
      </c>
      <c r="V2" s="16" t="s">
        <v>430</v>
      </c>
      <c r="W2" s="16" t="s">
        <v>431</v>
      </c>
    </row>
    <row r="3" spans="1:27" ht="30">
      <c r="A3" s="17">
        <v>41723.469687500001</v>
      </c>
      <c r="B3" s="18">
        <v>41723.469687500001</v>
      </c>
      <c r="C3" s="17">
        <v>41724.513842592591</v>
      </c>
      <c r="D3" s="18">
        <v>41724.513842592591</v>
      </c>
      <c r="E3" s="19">
        <v>1</v>
      </c>
      <c r="F3" s="57" t="s">
        <v>225</v>
      </c>
      <c r="G3" s="19" t="str">
        <f t="shared" ref="G3:G66" si="0">RIGHT(F3,5)</f>
        <v>83827</v>
      </c>
      <c r="H3" s="19" t="s">
        <v>188</v>
      </c>
      <c r="I3" s="19" t="s">
        <v>189</v>
      </c>
      <c r="J3" s="19" t="s">
        <v>190</v>
      </c>
      <c r="K3" s="19" t="s">
        <v>191</v>
      </c>
      <c r="L3" s="19">
        <v>4151</v>
      </c>
      <c r="M3" s="19" t="str">
        <f t="shared" ref="M3:M28" si="1">CONCATENATE("Radio ",G3,"_UnitID_",L3)</f>
        <v>Radio 83827_UnitID_4151</v>
      </c>
      <c r="N3" s="55" t="s">
        <v>192</v>
      </c>
      <c r="O3" s="55"/>
      <c r="P3" s="19" t="s">
        <v>193</v>
      </c>
      <c r="Q3" s="101">
        <f t="shared" ref="Q3:Q28" si="2">D3-B3</f>
        <v>1.04415509258979</v>
      </c>
      <c r="R3" s="19" t="b">
        <v>1</v>
      </c>
      <c r="S3" s="19" t="b">
        <v>1</v>
      </c>
      <c r="Z3" s="59"/>
      <c r="AA3" s="59"/>
    </row>
    <row r="4" spans="1:27" ht="30">
      <c r="A4" s="17">
        <v>41723.469687500001</v>
      </c>
      <c r="B4" s="18">
        <v>41723.469687500001</v>
      </c>
      <c r="C4" s="17">
        <v>41724.506585648145</v>
      </c>
      <c r="D4" s="18">
        <v>41724.506585648145</v>
      </c>
      <c r="E4" s="19">
        <v>1</v>
      </c>
      <c r="F4" s="57" t="s">
        <v>194</v>
      </c>
      <c r="G4" s="19" t="str">
        <f t="shared" si="0"/>
        <v>14199</v>
      </c>
      <c r="H4" s="19" t="s">
        <v>188</v>
      </c>
      <c r="I4" s="19" t="s">
        <v>189</v>
      </c>
      <c r="J4" s="19" t="s">
        <v>190</v>
      </c>
      <c r="K4" s="19" t="s">
        <v>191</v>
      </c>
      <c r="L4" s="19">
        <v>4111</v>
      </c>
      <c r="M4" s="19" t="str">
        <f t="shared" si="1"/>
        <v>Radio 14199_UnitID_4111</v>
      </c>
      <c r="N4" s="55" t="s">
        <v>192</v>
      </c>
      <c r="O4" s="55"/>
      <c r="P4" s="19" t="s">
        <v>195</v>
      </c>
      <c r="Q4" s="101">
        <f t="shared" si="2"/>
        <v>1.0368981481442461</v>
      </c>
      <c r="R4" s="19" t="b">
        <v>1</v>
      </c>
      <c r="S4" s="19" t="b">
        <v>1</v>
      </c>
    </row>
    <row r="5" spans="1:27" ht="30">
      <c r="A5" s="17">
        <v>41723.469687500001</v>
      </c>
      <c r="B5" s="18">
        <v>41723.469687500001</v>
      </c>
      <c r="C5" s="17">
        <v>41724.592766203707</v>
      </c>
      <c r="D5" s="18">
        <v>41724.592766203707</v>
      </c>
      <c r="E5" s="19">
        <v>1</v>
      </c>
      <c r="F5" s="57" t="s">
        <v>229</v>
      </c>
      <c r="G5" s="19" t="str">
        <f t="shared" si="0"/>
        <v>85126</v>
      </c>
      <c r="H5" s="19" t="s">
        <v>196</v>
      </c>
      <c r="I5" s="19" t="s">
        <v>187</v>
      </c>
      <c r="J5" s="19" t="s">
        <v>206</v>
      </c>
      <c r="K5" s="19" t="s">
        <v>226</v>
      </c>
      <c r="L5" s="19">
        <v>4121</v>
      </c>
      <c r="M5" s="19" t="str">
        <f t="shared" si="1"/>
        <v>Radio 85126_UnitID_4121</v>
      </c>
      <c r="N5" s="55" t="s">
        <v>192</v>
      </c>
      <c r="O5" s="55"/>
      <c r="P5" s="19" t="s">
        <v>195</v>
      </c>
      <c r="Q5" s="101">
        <f t="shared" si="2"/>
        <v>1.1230787037056871</v>
      </c>
      <c r="R5" s="19" t="b">
        <v>1</v>
      </c>
      <c r="S5" s="19" t="b">
        <v>1</v>
      </c>
    </row>
    <row r="6" spans="1:27" ht="30">
      <c r="A6" s="17">
        <v>41723.469687500001</v>
      </c>
      <c r="B6" s="18">
        <v>41723.469687500001</v>
      </c>
      <c r="C6" s="17">
        <v>41724.595266203702</v>
      </c>
      <c r="D6" s="18">
        <v>41724.595266203702</v>
      </c>
      <c r="E6" s="19">
        <v>1</v>
      </c>
      <c r="F6" s="57" t="s">
        <v>228</v>
      </c>
      <c r="G6" s="19" t="str">
        <f t="shared" si="0"/>
        <v>87763</v>
      </c>
      <c r="H6" s="19" t="s">
        <v>196</v>
      </c>
      <c r="I6" s="19" t="s">
        <v>187</v>
      </c>
      <c r="J6" s="19" t="s">
        <v>206</v>
      </c>
      <c r="K6" s="19" t="s">
        <v>226</v>
      </c>
      <c r="L6" s="19">
        <v>4131</v>
      </c>
      <c r="M6" s="19" t="str">
        <f t="shared" si="1"/>
        <v>Radio 87763_UnitID_4131</v>
      </c>
      <c r="N6" s="55" t="s">
        <v>192</v>
      </c>
      <c r="O6" s="55"/>
      <c r="P6" s="19" t="s">
        <v>197</v>
      </c>
      <c r="Q6" s="101">
        <f t="shared" si="2"/>
        <v>1.1255787037007394</v>
      </c>
      <c r="R6" s="19" t="b">
        <v>1</v>
      </c>
      <c r="S6" s="19" t="b">
        <v>1</v>
      </c>
    </row>
    <row r="7" spans="1:27" ht="30">
      <c r="A7" s="17">
        <v>41723.469687500001</v>
      </c>
      <c r="B7" s="18">
        <v>41723.469687500001</v>
      </c>
      <c r="C7" s="17">
        <v>41724.594386574077</v>
      </c>
      <c r="D7" s="18">
        <v>41724.594386574077</v>
      </c>
      <c r="E7" s="19">
        <v>1</v>
      </c>
      <c r="F7" s="57" t="s">
        <v>227</v>
      </c>
      <c r="G7" s="19" t="str">
        <f t="shared" si="0"/>
        <v>86149</v>
      </c>
      <c r="H7" s="19" t="s">
        <v>196</v>
      </c>
      <c r="I7" s="19" t="s">
        <v>187</v>
      </c>
      <c r="J7" s="19" t="s">
        <v>206</v>
      </c>
      <c r="K7" s="19" t="s">
        <v>226</v>
      </c>
      <c r="L7" s="19">
        <v>4141</v>
      </c>
      <c r="M7" s="19" t="str">
        <f t="shared" si="1"/>
        <v>Radio 86149_UnitID_4141</v>
      </c>
      <c r="N7" s="55" t="s">
        <v>192</v>
      </c>
      <c r="O7" s="55"/>
      <c r="P7" s="19" t="s">
        <v>193</v>
      </c>
      <c r="Q7" s="101">
        <f t="shared" si="2"/>
        <v>1.1246990740764886</v>
      </c>
      <c r="R7" s="19" t="b">
        <v>1</v>
      </c>
      <c r="S7" s="19" t="b">
        <v>1</v>
      </c>
    </row>
    <row r="8" spans="1:27" ht="30">
      <c r="A8" s="17">
        <v>41723.469687500001</v>
      </c>
      <c r="B8" s="18">
        <v>41723.469687500001</v>
      </c>
      <c r="C8" s="17">
        <v>41724.509733796294</v>
      </c>
      <c r="D8" s="18">
        <v>41724.509733796294</v>
      </c>
      <c r="E8" s="19">
        <v>1</v>
      </c>
      <c r="F8" s="57" t="s">
        <v>198</v>
      </c>
      <c r="G8" s="19" t="str">
        <f t="shared" si="0"/>
        <v>15132</v>
      </c>
      <c r="H8" s="19" t="s">
        <v>188</v>
      </c>
      <c r="I8" s="19" t="s">
        <v>189</v>
      </c>
      <c r="J8" s="19" t="s">
        <v>190</v>
      </c>
      <c r="K8" s="19" t="s">
        <v>191</v>
      </c>
      <c r="L8" s="19">
        <v>4161</v>
      </c>
      <c r="M8" s="19" t="str">
        <f t="shared" si="1"/>
        <v>Radio 15132_UnitID_4161</v>
      </c>
      <c r="N8" s="55" t="s">
        <v>192</v>
      </c>
      <c r="O8" s="55"/>
      <c r="P8" s="19" t="s">
        <v>193</v>
      </c>
      <c r="Q8" s="101">
        <f t="shared" si="2"/>
        <v>1.0400462962934398</v>
      </c>
      <c r="R8" s="19" t="b">
        <v>1</v>
      </c>
      <c r="S8" s="19" t="b">
        <v>1</v>
      </c>
    </row>
    <row r="9" spans="1:27">
      <c r="A9" s="17">
        <v>41723.528067129628</v>
      </c>
      <c r="B9" s="18">
        <v>41723.528067129628</v>
      </c>
      <c r="C9" s="17">
        <v>41724.444432870368</v>
      </c>
      <c r="D9" s="18">
        <v>41724.444432870368</v>
      </c>
      <c r="E9" s="19">
        <v>3</v>
      </c>
      <c r="F9" s="57" t="s">
        <v>199</v>
      </c>
      <c r="G9" s="19" t="str">
        <f>RIGHT(F9,5)</f>
        <v>16026</v>
      </c>
      <c r="H9" s="19" t="s">
        <v>188</v>
      </c>
      <c r="I9" s="19" t="s">
        <v>200</v>
      </c>
      <c r="J9" s="19" t="s">
        <v>190</v>
      </c>
      <c r="K9" s="19" t="s">
        <v>191</v>
      </c>
      <c r="L9" s="19">
        <v>6011</v>
      </c>
      <c r="M9" s="19" t="str">
        <f t="shared" si="1"/>
        <v>Radio 16026_UnitID_6011</v>
      </c>
      <c r="N9" s="55" t="s">
        <v>201</v>
      </c>
      <c r="O9" s="55"/>
      <c r="P9" s="19" t="s">
        <v>193</v>
      </c>
      <c r="Q9" s="101">
        <f t="shared" si="2"/>
        <v>0.91636574074072996</v>
      </c>
      <c r="R9" s="19" t="b">
        <v>1</v>
      </c>
      <c r="S9" s="19" t="b">
        <v>1</v>
      </c>
    </row>
    <row r="10" spans="1:27">
      <c r="A10" s="17">
        <v>41723.528067129628</v>
      </c>
      <c r="B10" s="18">
        <v>41723.528067129628</v>
      </c>
      <c r="C10" s="17">
        <v>41724.513287037036</v>
      </c>
      <c r="D10" s="18">
        <v>41724.513287037036</v>
      </c>
      <c r="E10" s="19">
        <v>3</v>
      </c>
      <c r="F10" s="57" t="s">
        <v>202</v>
      </c>
      <c r="G10" s="19" t="str">
        <f t="shared" si="0"/>
        <v>15483</v>
      </c>
      <c r="H10" s="19" t="s">
        <v>188</v>
      </c>
      <c r="I10" s="19" t="s">
        <v>189</v>
      </c>
      <c r="J10" s="19" t="s">
        <v>190</v>
      </c>
      <c r="K10" s="19" t="s">
        <v>191</v>
      </c>
      <c r="L10" s="19">
        <v>6041</v>
      </c>
      <c r="M10" s="19" t="str">
        <f t="shared" si="1"/>
        <v>Radio 15483_UnitID_6041</v>
      </c>
      <c r="N10" s="55" t="s">
        <v>201</v>
      </c>
      <c r="O10" s="55"/>
      <c r="P10" s="19" t="s">
        <v>193</v>
      </c>
      <c r="Q10" s="101">
        <f t="shared" si="2"/>
        <v>0.98521990740846377</v>
      </c>
      <c r="R10" s="19" t="b">
        <v>1</v>
      </c>
      <c r="S10" s="19" t="b">
        <v>1</v>
      </c>
    </row>
    <row r="11" spans="1:27">
      <c r="A11" s="17">
        <v>41723.528067129628</v>
      </c>
      <c r="B11" s="18">
        <v>41723.528067129628</v>
      </c>
      <c r="C11" s="17">
        <v>41724.442187499997</v>
      </c>
      <c r="D11" s="18">
        <v>41724.442187499997</v>
      </c>
      <c r="E11" s="19">
        <v>3</v>
      </c>
      <c r="F11" s="57" t="s">
        <v>203</v>
      </c>
      <c r="G11" s="19" t="str">
        <f t="shared" si="0"/>
        <v>15902</v>
      </c>
      <c r="H11" s="19" t="s">
        <v>188</v>
      </c>
      <c r="I11" s="19" t="s">
        <v>189</v>
      </c>
      <c r="J11" s="19" t="s">
        <v>190</v>
      </c>
      <c r="K11" s="19" t="s">
        <v>191</v>
      </c>
      <c r="L11" s="19">
        <v>6031</v>
      </c>
      <c r="M11" s="19" t="str">
        <f t="shared" si="1"/>
        <v>Radio 15902_UnitID_6031</v>
      </c>
      <c r="N11" s="55" t="s">
        <v>201</v>
      </c>
      <c r="O11" s="55"/>
      <c r="P11" s="19" t="s">
        <v>204</v>
      </c>
      <c r="Q11" s="101">
        <f t="shared" si="2"/>
        <v>0.91412037036934635</v>
      </c>
      <c r="R11" s="19" t="b">
        <v>1</v>
      </c>
      <c r="S11" s="19" t="b">
        <v>1</v>
      </c>
    </row>
    <row r="12" spans="1:27">
      <c r="A12" s="17">
        <v>41723.528067129628</v>
      </c>
      <c r="B12" s="18">
        <v>41723.528067129628</v>
      </c>
      <c r="C12" s="17">
        <v>41724.458310185182</v>
      </c>
      <c r="D12" s="18">
        <v>41724.458310185182</v>
      </c>
      <c r="E12" s="19">
        <v>3</v>
      </c>
      <c r="F12" s="57" t="s">
        <v>205</v>
      </c>
      <c r="G12" s="19" t="str">
        <f t="shared" si="0"/>
        <v>14147</v>
      </c>
      <c r="H12" s="19" t="s">
        <v>188</v>
      </c>
      <c r="I12" s="19" t="s">
        <v>189</v>
      </c>
      <c r="J12" s="19" t="s">
        <v>190</v>
      </c>
      <c r="K12" s="19" t="s">
        <v>191</v>
      </c>
      <c r="L12" s="19">
        <v>6021</v>
      </c>
      <c r="M12" s="19" t="str">
        <f t="shared" si="1"/>
        <v>Radio 14147_UnitID_6021</v>
      </c>
      <c r="N12" s="55" t="s">
        <v>201</v>
      </c>
      <c r="O12" s="55"/>
      <c r="P12" s="19" t="s">
        <v>204</v>
      </c>
      <c r="Q12" s="101">
        <f t="shared" si="2"/>
        <v>0.93024305555445608</v>
      </c>
      <c r="R12" s="19" t="b">
        <v>1</v>
      </c>
      <c r="S12" s="19" t="b">
        <v>1</v>
      </c>
    </row>
    <row r="13" spans="1:27">
      <c r="A13" s="17">
        <v>41723.528067129628</v>
      </c>
      <c r="B13" s="18">
        <v>41723.528067129628</v>
      </c>
      <c r="C13" s="17">
        <v>41724.689652777779</v>
      </c>
      <c r="D13" s="18">
        <v>41724.689652777779</v>
      </c>
      <c r="E13" s="19">
        <v>3</v>
      </c>
      <c r="F13" s="57" t="s">
        <v>236</v>
      </c>
      <c r="G13" s="19" t="str">
        <f t="shared" si="0"/>
        <v>74864</v>
      </c>
      <c r="H13" s="19" t="s">
        <v>212</v>
      </c>
      <c r="I13" s="19" t="s">
        <v>187</v>
      </c>
      <c r="J13" s="19" t="s">
        <v>206</v>
      </c>
      <c r="K13" s="19" t="s">
        <v>226</v>
      </c>
      <c r="L13" s="19">
        <v>6001</v>
      </c>
      <c r="M13" s="19" t="str">
        <f t="shared" si="1"/>
        <v>Radio 74864_UnitID_6001</v>
      </c>
      <c r="N13" s="55" t="s">
        <v>201</v>
      </c>
      <c r="O13" s="55"/>
      <c r="P13" s="19" t="s">
        <v>204</v>
      </c>
      <c r="Q13" s="101">
        <f t="shared" si="2"/>
        <v>1.161585648151231</v>
      </c>
      <c r="R13" s="19" t="b">
        <v>1</v>
      </c>
      <c r="S13" s="19" t="b">
        <v>1</v>
      </c>
    </row>
    <row r="14" spans="1:27">
      <c r="A14" s="17">
        <v>41723.528067129628</v>
      </c>
      <c r="B14" s="18">
        <v>41723.528067129628</v>
      </c>
      <c r="C14" s="17">
        <v>41724.699317129627</v>
      </c>
      <c r="D14" s="18">
        <v>41724.699317129627</v>
      </c>
      <c r="E14" s="19">
        <v>4</v>
      </c>
      <c r="F14" s="57" t="s">
        <v>207</v>
      </c>
      <c r="G14" s="19" t="str">
        <f t="shared" si="0"/>
        <v>15588</v>
      </c>
      <c r="H14" s="19" t="s">
        <v>188</v>
      </c>
      <c r="I14" s="19" t="s">
        <v>189</v>
      </c>
      <c r="J14" s="19" t="s">
        <v>190</v>
      </c>
      <c r="K14" s="19" t="s">
        <v>191</v>
      </c>
      <c r="L14" s="19">
        <v>5621</v>
      </c>
      <c r="M14" s="19" t="str">
        <f t="shared" si="1"/>
        <v>Radio 15588_UnitID_5621</v>
      </c>
      <c r="N14" s="55" t="s">
        <v>208</v>
      </c>
      <c r="O14" s="55"/>
      <c r="P14" s="19" t="s">
        <v>204</v>
      </c>
      <c r="Q14" s="101">
        <f t="shared" si="2"/>
        <v>1.1712499999994179</v>
      </c>
      <c r="R14" s="19" t="b">
        <v>1</v>
      </c>
      <c r="S14" s="19" t="b">
        <v>1</v>
      </c>
    </row>
    <row r="15" spans="1:27">
      <c r="A15" s="17">
        <v>41723.528067129628</v>
      </c>
      <c r="B15" s="18">
        <v>41723.528067129628</v>
      </c>
      <c r="C15" s="17">
        <v>41724.70076388889</v>
      </c>
      <c r="D15" s="18">
        <v>41724.70076388889</v>
      </c>
      <c r="E15" s="19">
        <v>4</v>
      </c>
      <c r="F15" s="57" t="s">
        <v>209</v>
      </c>
      <c r="G15" s="19" t="str">
        <f t="shared" si="0"/>
        <v>15981</v>
      </c>
      <c r="H15" s="19" t="s">
        <v>188</v>
      </c>
      <c r="I15" s="19" t="s">
        <v>189</v>
      </c>
      <c r="J15" s="19" t="s">
        <v>190</v>
      </c>
      <c r="K15" s="19" t="s">
        <v>191</v>
      </c>
      <c r="L15" s="19">
        <v>5611</v>
      </c>
      <c r="M15" s="19" t="str">
        <f t="shared" si="1"/>
        <v>Radio 15981_UnitID_5611</v>
      </c>
      <c r="N15" s="55" t="s">
        <v>208</v>
      </c>
      <c r="O15" s="55"/>
      <c r="P15" s="19" t="s">
        <v>204</v>
      </c>
      <c r="Q15" s="101">
        <f t="shared" si="2"/>
        <v>1.1726967592621804</v>
      </c>
      <c r="R15" s="19" t="b">
        <v>1</v>
      </c>
      <c r="S15" s="19" t="b">
        <v>1</v>
      </c>
    </row>
    <row r="16" spans="1:27">
      <c r="A16" s="17">
        <v>41723.528067129628</v>
      </c>
      <c r="B16" s="18">
        <v>41723.528067129628</v>
      </c>
      <c r="C16" s="17">
        <v>41724.693414351852</v>
      </c>
      <c r="D16" s="18">
        <v>41724.693414351852</v>
      </c>
      <c r="E16" s="19">
        <v>2</v>
      </c>
      <c r="F16" s="57" t="s">
        <v>210</v>
      </c>
      <c r="G16" s="19" t="str">
        <f t="shared" si="0"/>
        <v>15368</v>
      </c>
      <c r="H16" s="19" t="s">
        <v>188</v>
      </c>
      <c r="I16" s="19" t="s">
        <v>189</v>
      </c>
      <c r="J16" s="19" t="s">
        <v>190</v>
      </c>
      <c r="K16" s="19" t="s">
        <v>191</v>
      </c>
      <c r="L16" s="19">
        <v>5121</v>
      </c>
      <c r="M16" s="19" t="str">
        <f t="shared" si="1"/>
        <v>Radio 15368_UnitID_5121</v>
      </c>
      <c r="N16" s="55" t="s">
        <v>211</v>
      </c>
      <c r="O16" s="55"/>
      <c r="P16" s="19" t="s">
        <v>204</v>
      </c>
      <c r="Q16" s="101">
        <f t="shared" si="2"/>
        <v>1.1653472222242272</v>
      </c>
      <c r="R16" s="19" t="b">
        <v>1</v>
      </c>
      <c r="S16" s="19" t="b">
        <v>1</v>
      </c>
    </row>
    <row r="17" spans="1:19">
      <c r="A17" s="17">
        <v>41723.560891203706</v>
      </c>
      <c r="B17" s="18">
        <v>41723.560891203706</v>
      </c>
      <c r="C17" s="17">
        <v>41724.697337962964</v>
      </c>
      <c r="D17" s="18">
        <v>41724.697337962964</v>
      </c>
      <c r="E17" s="19">
        <v>2</v>
      </c>
      <c r="F17" s="57" t="s">
        <v>213</v>
      </c>
      <c r="G17" s="19" t="str">
        <f t="shared" si="0"/>
        <v>13147</v>
      </c>
      <c r="H17" s="19" t="s">
        <v>188</v>
      </c>
      <c r="I17" s="19" t="s">
        <v>189</v>
      </c>
      <c r="J17" s="19" t="s">
        <v>190</v>
      </c>
      <c r="K17" s="19" t="s">
        <v>191</v>
      </c>
      <c r="L17" s="19">
        <v>5111</v>
      </c>
      <c r="M17" s="19" t="str">
        <f t="shared" si="1"/>
        <v>Radio 13147_UnitID_5111</v>
      </c>
      <c r="N17" s="55" t="s">
        <v>211</v>
      </c>
      <c r="O17" s="55"/>
      <c r="P17" s="19" t="s">
        <v>204</v>
      </c>
      <c r="Q17" s="101">
        <f t="shared" si="2"/>
        <v>1.1364467592575238</v>
      </c>
      <c r="R17" s="19" t="b">
        <v>1</v>
      </c>
      <c r="S17" s="19" t="b">
        <v>1</v>
      </c>
    </row>
    <row r="18" spans="1:19">
      <c r="A18" s="17">
        <v>41723.560891203706</v>
      </c>
      <c r="B18" s="18">
        <v>41723.560891203706</v>
      </c>
      <c r="C18" s="17">
        <v>41724.695844907408</v>
      </c>
      <c r="D18" s="18">
        <v>41724.695844907408</v>
      </c>
      <c r="E18" s="19">
        <v>2</v>
      </c>
      <c r="F18" s="57" t="s">
        <v>214</v>
      </c>
      <c r="G18" s="19" t="str">
        <f t="shared" si="0"/>
        <v>45237</v>
      </c>
      <c r="H18" s="19" t="s">
        <v>215</v>
      </c>
      <c r="I18" s="19" t="s">
        <v>200</v>
      </c>
      <c r="J18" s="19" t="s">
        <v>190</v>
      </c>
      <c r="K18" s="19" t="s">
        <v>191</v>
      </c>
      <c r="L18" s="19">
        <v>5131</v>
      </c>
      <c r="M18" s="19" t="str">
        <f t="shared" si="1"/>
        <v>Radio 45237_UnitID_5131</v>
      </c>
      <c r="N18" s="55" t="s">
        <v>211</v>
      </c>
      <c r="O18" s="55"/>
      <c r="P18" s="19" t="s">
        <v>204</v>
      </c>
      <c r="Q18" s="101">
        <f t="shared" si="2"/>
        <v>1.1349537037021946</v>
      </c>
      <c r="R18" s="19" t="b">
        <v>1</v>
      </c>
      <c r="S18" s="19" t="b">
        <v>1</v>
      </c>
    </row>
    <row r="19" spans="1:19">
      <c r="A19" s="17">
        <v>41723.560891203706</v>
      </c>
      <c r="B19" s="18">
        <v>41723.560891203706</v>
      </c>
      <c r="C19" s="17">
        <v>41724.422152777777</v>
      </c>
      <c r="D19" s="18">
        <v>41724.422152777777</v>
      </c>
      <c r="E19" s="19">
        <v>4</v>
      </c>
      <c r="F19" s="57" t="s">
        <v>216</v>
      </c>
      <c r="G19" s="19" t="str">
        <f t="shared" si="0"/>
        <v>13880</v>
      </c>
      <c r="H19" s="19" t="s">
        <v>188</v>
      </c>
      <c r="I19" s="19" t="s">
        <v>217</v>
      </c>
      <c r="J19" s="19" t="s">
        <v>190</v>
      </c>
      <c r="K19" s="19" t="s">
        <v>191</v>
      </c>
      <c r="L19" s="19">
        <v>4631</v>
      </c>
      <c r="M19" s="19" t="str">
        <f t="shared" si="1"/>
        <v>Radio 13880_UnitID_4631</v>
      </c>
      <c r="N19" s="55" t="s">
        <v>218</v>
      </c>
      <c r="O19" s="55"/>
      <c r="P19" s="19" t="s">
        <v>193</v>
      </c>
      <c r="Q19" s="101">
        <f t="shared" si="2"/>
        <v>0.86126157407124992</v>
      </c>
      <c r="R19" s="19" t="b">
        <v>1</v>
      </c>
      <c r="S19" s="19" t="b">
        <v>1</v>
      </c>
    </row>
    <row r="20" spans="1:19">
      <c r="A20" s="17">
        <v>41723.560891203706</v>
      </c>
      <c r="B20" s="18">
        <v>41723.560891203706</v>
      </c>
      <c r="C20" s="17">
        <v>41724.436076388891</v>
      </c>
      <c r="D20" s="18">
        <v>41724.436076388891</v>
      </c>
      <c r="E20" s="19">
        <v>4</v>
      </c>
      <c r="F20" s="57" t="s">
        <v>219</v>
      </c>
      <c r="G20" s="19" t="str">
        <f t="shared" si="0"/>
        <v>15137</v>
      </c>
      <c r="H20" s="19" t="s">
        <v>188</v>
      </c>
      <c r="I20" s="19" t="s">
        <v>189</v>
      </c>
      <c r="J20" s="19" t="s">
        <v>190</v>
      </c>
      <c r="K20" s="19" t="s">
        <v>191</v>
      </c>
      <c r="L20" s="19">
        <v>2741</v>
      </c>
      <c r="M20" s="19" t="str">
        <f t="shared" si="1"/>
        <v>Radio 15137_UnitID_2741</v>
      </c>
      <c r="N20" s="55" t="s">
        <v>284</v>
      </c>
      <c r="O20" s="55"/>
      <c r="P20" s="19" t="s">
        <v>204</v>
      </c>
      <c r="Q20" s="101">
        <f t="shared" si="2"/>
        <v>0.87518518518481869</v>
      </c>
      <c r="R20" s="19" t="b">
        <v>1</v>
      </c>
      <c r="S20" s="19" t="b">
        <v>1</v>
      </c>
    </row>
    <row r="21" spans="1:19">
      <c r="A21" s="17">
        <v>41723.560891203706</v>
      </c>
      <c r="B21" s="18">
        <v>41723.560891203706</v>
      </c>
      <c r="C21" s="17">
        <v>41724.652175925927</v>
      </c>
      <c r="D21" s="18">
        <v>41724.652175925927</v>
      </c>
      <c r="E21" s="19">
        <v>4</v>
      </c>
      <c r="F21" s="57" t="s">
        <v>230</v>
      </c>
      <c r="G21" s="19" t="str">
        <f t="shared" si="0"/>
        <v>85091</v>
      </c>
      <c r="H21" s="19" t="s">
        <v>196</v>
      </c>
      <c r="I21" s="19" t="s">
        <v>187</v>
      </c>
      <c r="J21" s="19" t="s">
        <v>206</v>
      </c>
      <c r="K21" s="19" t="s">
        <v>226</v>
      </c>
      <c r="L21" s="19">
        <v>4651</v>
      </c>
      <c r="M21" s="19" t="str">
        <f t="shared" si="1"/>
        <v>Radio 85091_UnitID_4651</v>
      </c>
      <c r="N21" s="55" t="s">
        <v>218</v>
      </c>
      <c r="O21" s="55"/>
      <c r="P21" s="19" t="s">
        <v>204</v>
      </c>
      <c r="Q21" s="101">
        <f t="shared" si="2"/>
        <v>1.0912847222207347</v>
      </c>
      <c r="R21" s="19" t="b">
        <v>1</v>
      </c>
      <c r="S21" s="19" t="b">
        <v>1</v>
      </c>
    </row>
    <row r="22" spans="1:19">
      <c r="A22" s="17">
        <v>41723.560891203706</v>
      </c>
      <c r="B22" s="18">
        <v>41723.560891203706</v>
      </c>
      <c r="C22" s="17">
        <v>41724.64912037037</v>
      </c>
      <c r="D22" s="18">
        <v>41724.64912037037</v>
      </c>
      <c r="E22" s="19">
        <v>4</v>
      </c>
      <c r="F22" s="57" t="s">
        <v>231</v>
      </c>
      <c r="G22" s="19" t="str">
        <f t="shared" si="0"/>
        <v>86151</v>
      </c>
      <c r="H22" s="19" t="s">
        <v>196</v>
      </c>
      <c r="I22" s="19" t="s">
        <v>187</v>
      </c>
      <c r="J22" s="19" t="s">
        <v>206</v>
      </c>
      <c r="K22" s="19" t="s">
        <v>226</v>
      </c>
      <c r="L22" s="19">
        <v>4641</v>
      </c>
      <c r="M22" s="19" t="str">
        <f t="shared" si="1"/>
        <v>Radio 86151_UnitID_4641</v>
      </c>
      <c r="N22" s="55" t="s">
        <v>218</v>
      </c>
      <c r="O22" s="55"/>
      <c r="P22" s="19" t="s">
        <v>193</v>
      </c>
      <c r="Q22" s="101">
        <f t="shared" si="2"/>
        <v>1.0882291666639503</v>
      </c>
      <c r="R22" s="19" t="b">
        <v>1</v>
      </c>
      <c r="S22" s="19" t="b">
        <v>1</v>
      </c>
    </row>
    <row r="23" spans="1:19">
      <c r="A23" s="17">
        <v>41723.560891203706</v>
      </c>
      <c r="B23" s="18">
        <v>41723.560891203706</v>
      </c>
      <c r="C23" s="17">
        <v>41724.605821759258</v>
      </c>
      <c r="D23" s="18">
        <v>41724.605821759258</v>
      </c>
      <c r="E23" s="19">
        <v>5</v>
      </c>
      <c r="F23" s="57" t="s">
        <v>232</v>
      </c>
      <c r="G23" s="19" t="str">
        <f t="shared" si="0"/>
        <v>87758</v>
      </c>
      <c r="H23" s="19" t="s">
        <v>196</v>
      </c>
      <c r="I23" s="19" t="s">
        <v>187</v>
      </c>
      <c r="J23" s="19" t="s">
        <v>206</v>
      </c>
      <c r="K23" s="19" t="s">
        <v>226</v>
      </c>
      <c r="L23" s="19">
        <v>4371</v>
      </c>
      <c r="M23" s="19" t="str">
        <f t="shared" si="1"/>
        <v>Radio 87758_UnitID_4371</v>
      </c>
      <c r="N23" s="55" t="s">
        <v>220</v>
      </c>
      <c r="O23" s="55"/>
      <c r="P23" s="19" t="s">
        <v>193</v>
      </c>
      <c r="Q23" s="101">
        <f t="shared" si="2"/>
        <v>1.0449305555521278</v>
      </c>
      <c r="R23" s="19" t="b">
        <v>1</v>
      </c>
      <c r="S23" s="19" t="b">
        <v>1</v>
      </c>
    </row>
    <row r="24" spans="1:19">
      <c r="A24" s="17">
        <v>41723.560891203706</v>
      </c>
      <c r="B24" s="18">
        <v>41723.560891203706</v>
      </c>
      <c r="C24" s="17">
        <v>41724.616828703707</v>
      </c>
      <c r="D24" s="18">
        <v>41724.616828703707</v>
      </c>
      <c r="E24" s="19">
        <v>5</v>
      </c>
      <c r="F24" s="57" t="s">
        <v>233</v>
      </c>
      <c r="G24" s="19" t="str">
        <f t="shared" si="0"/>
        <v>62562</v>
      </c>
      <c r="H24" s="19" t="s">
        <v>196</v>
      </c>
      <c r="I24" s="19" t="s">
        <v>187</v>
      </c>
      <c r="J24" s="19" t="s">
        <v>206</v>
      </c>
      <c r="K24" s="19" t="s">
        <v>226</v>
      </c>
      <c r="L24" s="19">
        <v>4361</v>
      </c>
      <c r="M24" s="19" t="str">
        <f t="shared" si="1"/>
        <v>Radio 62562_UnitID_4361</v>
      </c>
      <c r="N24" s="55" t="s">
        <v>220</v>
      </c>
      <c r="O24" s="55"/>
      <c r="P24" s="19" t="s">
        <v>221</v>
      </c>
      <c r="Q24" s="101">
        <f t="shared" si="2"/>
        <v>1.0559375000011642</v>
      </c>
      <c r="R24" s="19" t="b">
        <v>1</v>
      </c>
      <c r="S24" s="19" t="b">
        <v>1</v>
      </c>
    </row>
    <row r="25" spans="1:19">
      <c r="A25" s="17">
        <v>41723.560891203706</v>
      </c>
      <c r="B25" s="18">
        <v>41723.560891203706</v>
      </c>
      <c r="C25" s="17">
        <v>41724.614479166667</v>
      </c>
      <c r="D25" s="18">
        <v>41724.614479166667</v>
      </c>
      <c r="E25" s="19">
        <v>5</v>
      </c>
      <c r="F25" s="57" t="s">
        <v>234</v>
      </c>
      <c r="G25" s="19" t="str">
        <f t="shared" si="0"/>
        <v>85142</v>
      </c>
      <c r="H25" s="19" t="s">
        <v>196</v>
      </c>
      <c r="I25" s="19" t="s">
        <v>187</v>
      </c>
      <c r="J25" s="19" t="s">
        <v>206</v>
      </c>
      <c r="K25" s="19" t="s">
        <v>226</v>
      </c>
      <c r="L25" s="19">
        <v>4373</v>
      </c>
      <c r="M25" s="19" t="str">
        <f t="shared" si="1"/>
        <v>Radio 85142_UnitID_4373</v>
      </c>
      <c r="N25" s="55" t="s">
        <v>220</v>
      </c>
      <c r="O25" s="55"/>
      <c r="P25" s="19" t="s">
        <v>204</v>
      </c>
      <c r="Q25" s="101">
        <f t="shared" si="2"/>
        <v>1.0535879629605915</v>
      </c>
      <c r="R25" s="19" t="b">
        <v>1</v>
      </c>
      <c r="S25" s="19" t="b">
        <v>1</v>
      </c>
    </row>
    <row r="26" spans="1:19">
      <c r="A26" s="17">
        <v>41723.560891203706</v>
      </c>
      <c r="B26" s="18">
        <v>41723.560891203706</v>
      </c>
      <c r="C26" s="17">
        <v>41724.496354166666</v>
      </c>
      <c r="D26" s="18">
        <v>41724.496354166666</v>
      </c>
      <c r="E26" s="19">
        <v>5</v>
      </c>
      <c r="F26" s="57" t="s">
        <v>222</v>
      </c>
      <c r="G26" s="19" t="str">
        <f t="shared" si="0"/>
        <v>15451</v>
      </c>
      <c r="H26" s="19" t="s">
        <v>188</v>
      </c>
      <c r="I26" s="19" t="s">
        <v>189</v>
      </c>
      <c r="J26" s="19" t="s">
        <v>190</v>
      </c>
      <c r="K26" s="19" t="s">
        <v>191</v>
      </c>
      <c r="L26" s="19">
        <v>4331</v>
      </c>
      <c r="M26" s="19" t="str">
        <f t="shared" si="1"/>
        <v>Radio 15451_UnitID_4331</v>
      </c>
      <c r="N26" s="55" t="s">
        <v>220</v>
      </c>
      <c r="O26" s="55"/>
      <c r="P26" s="19" t="s">
        <v>204</v>
      </c>
      <c r="Q26" s="101">
        <f t="shared" si="2"/>
        <v>0.93546296295971842</v>
      </c>
      <c r="R26" s="19" t="b">
        <v>1</v>
      </c>
      <c r="S26" s="19" t="b">
        <v>1</v>
      </c>
    </row>
    <row r="27" spans="1:19">
      <c r="A27" s="17">
        <v>41723.560891203706</v>
      </c>
      <c r="B27" s="18">
        <v>41723.560891203706</v>
      </c>
      <c r="C27" s="17">
        <v>41724.483310185184</v>
      </c>
      <c r="D27" s="18">
        <v>41724.483310185184</v>
      </c>
      <c r="E27" s="19">
        <v>5</v>
      </c>
      <c r="F27" s="57" t="s">
        <v>223</v>
      </c>
      <c r="G27" s="19" t="str">
        <f t="shared" si="0"/>
        <v>15454</v>
      </c>
      <c r="H27" s="19" t="s">
        <v>188</v>
      </c>
      <c r="I27" s="19" t="s">
        <v>189</v>
      </c>
      <c r="J27" s="19" t="s">
        <v>190</v>
      </c>
      <c r="K27" s="19" t="s">
        <v>191</v>
      </c>
      <c r="L27" s="19">
        <v>4321</v>
      </c>
      <c r="M27" s="19" t="str">
        <f t="shared" si="1"/>
        <v>Radio 15454_UnitID_4321</v>
      </c>
      <c r="N27" s="55" t="s">
        <v>220</v>
      </c>
      <c r="O27" s="55"/>
      <c r="P27" s="19" t="s">
        <v>224</v>
      </c>
      <c r="Q27" s="101">
        <f t="shared" si="2"/>
        <v>0.92241898147767643</v>
      </c>
      <c r="R27" s="19" t="b">
        <v>1</v>
      </c>
      <c r="S27" s="19" t="b">
        <v>1</v>
      </c>
    </row>
    <row r="28" spans="1:19">
      <c r="A28" s="17">
        <v>41723.560891203706</v>
      </c>
      <c r="B28" s="18">
        <v>41723.560891203706</v>
      </c>
      <c r="C28" s="17">
        <v>41724.619270833333</v>
      </c>
      <c r="D28" s="18">
        <v>41724.619270833333</v>
      </c>
      <c r="E28" s="19">
        <v>5</v>
      </c>
      <c r="F28" s="57" t="s">
        <v>235</v>
      </c>
      <c r="G28" s="19" t="str">
        <f t="shared" si="0"/>
        <v>87769</v>
      </c>
      <c r="H28" s="19" t="s">
        <v>196</v>
      </c>
      <c r="I28" s="19" t="s">
        <v>187</v>
      </c>
      <c r="J28" s="19" t="s">
        <v>206</v>
      </c>
      <c r="K28" s="19" t="s">
        <v>226</v>
      </c>
      <c r="L28" s="19">
        <v>4381</v>
      </c>
      <c r="M28" s="19" t="str">
        <f t="shared" si="1"/>
        <v>Radio 87769_UnitID_4381</v>
      </c>
      <c r="N28" s="55" t="s">
        <v>220</v>
      </c>
      <c r="O28" s="55"/>
      <c r="P28" s="19" t="s">
        <v>193</v>
      </c>
      <c r="Q28" s="101">
        <f t="shared" si="2"/>
        <v>1.0583796296268702</v>
      </c>
      <c r="R28" s="19" t="b">
        <v>1</v>
      </c>
      <c r="S28" s="19" t="b">
        <v>1</v>
      </c>
    </row>
    <row r="29" spans="1:19" ht="30">
      <c r="A29" s="17">
        <v>41724.716296296298</v>
      </c>
      <c r="B29" s="18">
        <v>41724.716296296298</v>
      </c>
      <c r="C29" s="17">
        <v>41726.757662037038</v>
      </c>
      <c r="D29" s="18">
        <v>41726.757662037038</v>
      </c>
      <c r="E29" s="19">
        <v>9</v>
      </c>
      <c r="F29" s="57" t="s">
        <v>237</v>
      </c>
      <c r="G29" s="19" t="str">
        <f t="shared" si="0"/>
        <v>63141</v>
      </c>
      <c r="H29" s="19" t="s">
        <v>238</v>
      </c>
      <c r="I29" s="19" t="s">
        <v>239</v>
      </c>
      <c r="J29" s="19" t="s">
        <v>190</v>
      </c>
      <c r="K29" s="19" t="s">
        <v>191</v>
      </c>
      <c r="L29" s="19">
        <v>904</v>
      </c>
      <c r="M29" s="19" t="str">
        <f>CONCATENATE("Radio ",G29,"_UnitID_",L29)</f>
        <v>Radio 63141_UnitID_904</v>
      </c>
      <c r="N29" s="55" t="s">
        <v>240</v>
      </c>
      <c r="O29" s="55" t="s">
        <v>280</v>
      </c>
      <c r="P29" s="19" t="s">
        <v>281</v>
      </c>
      <c r="Q29" s="101">
        <f>D29-B29</f>
        <v>2.04136574074073</v>
      </c>
      <c r="R29" s="19" t="b">
        <v>1</v>
      </c>
      <c r="S29" s="19" t="b">
        <v>1</v>
      </c>
    </row>
    <row r="30" spans="1:19" ht="30">
      <c r="A30" s="17">
        <v>41724.716296296298</v>
      </c>
      <c r="B30" s="18">
        <v>41724.716296296298</v>
      </c>
      <c r="C30" s="17">
        <v>41725.493657407409</v>
      </c>
      <c r="D30" s="18">
        <v>41725.493657407409</v>
      </c>
      <c r="E30" s="19">
        <v>9</v>
      </c>
      <c r="F30" s="57" t="s">
        <v>242</v>
      </c>
      <c r="G30" s="19" t="str">
        <f t="shared" si="0"/>
        <v>83730</v>
      </c>
      <c r="H30" s="19" t="s">
        <v>188</v>
      </c>
      <c r="I30" s="19" t="s">
        <v>189</v>
      </c>
      <c r="J30" s="19" t="s">
        <v>190</v>
      </c>
      <c r="K30" s="19" t="s">
        <v>191</v>
      </c>
      <c r="L30" s="19">
        <v>1391</v>
      </c>
      <c r="M30" s="19" t="str">
        <f t="shared" ref="M30:M36" si="3">CONCATENATE("Radio ",G30,"_UnitID_",L30)</f>
        <v>Radio 83730_UnitID_1391</v>
      </c>
      <c r="N30" s="55" t="s">
        <v>295</v>
      </c>
      <c r="O30" s="55"/>
      <c r="P30" s="19" t="s">
        <v>193</v>
      </c>
      <c r="Q30" s="101">
        <f t="shared" ref="Q30:Q36" si="4">D30-B30</f>
        <v>0.7773611111115315</v>
      </c>
      <c r="R30" s="19" t="b">
        <v>1</v>
      </c>
      <c r="S30" s="19" t="b">
        <v>1</v>
      </c>
    </row>
    <row r="31" spans="1:19" ht="30">
      <c r="A31" s="17">
        <v>41724.719606481478</v>
      </c>
      <c r="B31" s="18">
        <v>41724.719606481478</v>
      </c>
      <c r="C31" s="17">
        <v>41725.495729166665</v>
      </c>
      <c r="D31" s="18">
        <v>41725.495729166665</v>
      </c>
      <c r="E31" s="19">
        <v>9</v>
      </c>
      <c r="F31" s="57" t="s">
        <v>243</v>
      </c>
      <c r="G31" s="19" t="str">
        <f t="shared" si="0"/>
        <v>17172</v>
      </c>
      <c r="H31" s="19" t="s">
        <v>244</v>
      </c>
      <c r="I31" s="19" t="s">
        <v>245</v>
      </c>
      <c r="J31" s="19" t="s">
        <v>190</v>
      </c>
      <c r="K31" s="19" t="s">
        <v>191</v>
      </c>
      <c r="L31" s="19">
        <v>2151</v>
      </c>
      <c r="M31" s="19" t="str">
        <f t="shared" si="3"/>
        <v>Radio 17172_UnitID_2151</v>
      </c>
      <c r="N31" s="55" t="s">
        <v>296</v>
      </c>
      <c r="O31" s="55"/>
      <c r="P31" s="19" t="s">
        <v>221</v>
      </c>
      <c r="Q31" s="101">
        <f t="shared" si="4"/>
        <v>0.776122685187147</v>
      </c>
      <c r="R31" s="19" t="b">
        <v>1</v>
      </c>
      <c r="S31" s="19" t="b">
        <v>1</v>
      </c>
    </row>
    <row r="32" spans="1:19" ht="30">
      <c r="A32" s="17">
        <v>41724.719606481478</v>
      </c>
      <c r="B32" s="18">
        <v>41724.719606481478</v>
      </c>
      <c r="C32" s="17">
        <v>41725.431400462963</v>
      </c>
      <c r="D32" s="18">
        <v>41725.431400462963</v>
      </c>
      <c r="E32" s="19">
        <v>8</v>
      </c>
      <c r="F32" s="57" t="s">
        <v>246</v>
      </c>
      <c r="G32" s="19" t="str">
        <f t="shared" si="0"/>
        <v>16895</v>
      </c>
      <c r="H32" s="19" t="s">
        <v>247</v>
      </c>
      <c r="I32" s="19" t="s">
        <v>189</v>
      </c>
      <c r="J32" s="19" t="s">
        <v>190</v>
      </c>
      <c r="K32" s="19" t="s">
        <v>191</v>
      </c>
      <c r="L32" s="19">
        <v>1811</v>
      </c>
      <c r="M32" s="19" t="str">
        <f t="shared" si="3"/>
        <v>Radio 16895_UnitID_1811</v>
      </c>
      <c r="N32" s="55" t="s">
        <v>568</v>
      </c>
      <c r="O32" s="55"/>
      <c r="P32" s="19" t="s">
        <v>248</v>
      </c>
      <c r="Q32" s="101">
        <f t="shared" si="4"/>
        <v>0.71179398148524342</v>
      </c>
      <c r="R32" s="19" t="b">
        <v>1</v>
      </c>
      <c r="S32" s="19" t="b">
        <v>1</v>
      </c>
    </row>
    <row r="33" spans="1:22" ht="30">
      <c r="A33" s="17">
        <v>41724.719606481478</v>
      </c>
      <c r="B33" s="18">
        <v>41724.719606481478</v>
      </c>
      <c r="C33" s="17">
        <v>41725.431261574071</v>
      </c>
      <c r="D33" s="18">
        <v>41725.431261574071</v>
      </c>
      <c r="E33" s="19">
        <v>8</v>
      </c>
      <c r="F33" s="57" t="s">
        <v>249</v>
      </c>
      <c r="G33" s="19" t="str">
        <f t="shared" si="0"/>
        <v>16369</v>
      </c>
      <c r="H33" s="19" t="s">
        <v>247</v>
      </c>
      <c r="I33" s="19" t="s">
        <v>189</v>
      </c>
      <c r="J33" s="19" t="s">
        <v>190</v>
      </c>
      <c r="K33" s="19" t="s">
        <v>191</v>
      </c>
      <c r="L33" s="19">
        <v>1821</v>
      </c>
      <c r="M33" s="19" t="str">
        <f t="shared" si="3"/>
        <v>Radio 16369_UnitID_1821</v>
      </c>
      <c r="N33" s="55" t="s">
        <v>568</v>
      </c>
      <c r="O33" s="55"/>
      <c r="P33" s="19" t="s">
        <v>248</v>
      </c>
      <c r="Q33" s="101">
        <f t="shared" si="4"/>
        <v>0.71165509259299142</v>
      </c>
      <c r="R33" s="19" t="b">
        <v>1</v>
      </c>
      <c r="S33" s="19" t="b">
        <v>1</v>
      </c>
    </row>
    <row r="34" spans="1:22">
      <c r="A34" s="17">
        <v>41724.723136574074</v>
      </c>
      <c r="B34" s="18">
        <v>41724.723136574074</v>
      </c>
      <c r="C34" s="17">
        <v>41725.317812499998</v>
      </c>
      <c r="D34" s="18">
        <v>41725.317812499998</v>
      </c>
      <c r="E34" s="19">
        <v>7</v>
      </c>
      <c r="F34" s="57" t="s">
        <v>250</v>
      </c>
      <c r="G34" s="19" t="str">
        <f t="shared" si="0"/>
        <v>78596</v>
      </c>
      <c r="H34" s="19" t="s">
        <v>251</v>
      </c>
      <c r="I34" s="19" t="s">
        <v>252</v>
      </c>
      <c r="J34" s="19" t="s">
        <v>190</v>
      </c>
      <c r="K34" s="19" t="s">
        <v>191</v>
      </c>
      <c r="L34" s="19">
        <v>3305</v>
      </c>
      <c r="M34" s="19" t="str">
        <f t="shared" si="3"/>
        <v>Radio 78596_UnitID_3305</v>
      </c>
      <c r="N34" s="55" t="s">
        <v>253</v>
      </c>
      <c r="O34" s="55"/>
      <c r="Q34" s="101">
        <f t="shared" si="4"/>
        <v>0.59467592592409346</v>
      </c>
      <c r="R34" s="19" t="b">
        <v>1</v>
      </c>
      <c r="S34" s="19" t="b">
        <v>1</v>
      </c>
      <c r="V34" s="55" t="s">
        <v>393</v>
      </c>
    </row>
    <row r="35" spans="1:22">
      <c r="A35" s="17">
        <v>41724.723136574074</v>
      </c>
      <c r="B35" s="18">
        <v>41724.723136574074</v>
      </c>
      <c r="C35" s="17">
        <v>41725.33697916667</v>
      </c>
      <c r="D35" s="18">
        <v>41725.33697916667</v>
      </c>
      <c r="E35" s="19">
        <v>7</v>
      </c>
      <c r="F35" s="57" t="s">
        <v>254</v>
      </c>
      <c r="G35" s="19" t="str">
        <f t="shared" si="0"/>
        <v>97875</v>
      </c>
      <c r="H35" s="19" t="s">
        <v>251</v>
      </c>
      <c r="I35" s="19" t="s">
        <v>255</v>
      </c>
      <c r="J35" s="19" t="s">
        <v>190</v>
      </c>
      <c r="K35" s="19" t="s">
        <v>191</v>
      </c>
      <c r="L35" s="19">
        <v>3308</v>
      </c>
      <c r="M35" s="19" t="str">
        <f t="shared" si="3"/>
        <v>Radio 97875_UnitID_3308</v>
      </c>
      <c r="N35" s="55" t="s">
        <v>253</v>
      </c>
      <c r="O35" s="55"/>
      <c r="Q35" s="101">
        <f t="shared" si="4"/>
        <v>0.61384259259648388</v>
      </c>
      <c r="R35" s="19" t="b">
        <v>1</v>
      </c>
      <c r="S35" s="19" t="b">
        <v>1</v>
      </c>
      <c r="V35" s="55" t="s">
        <v>393</v>
      </c>
    </row>
    <row r="36" spans="1:22">
      <c r="A36" s="17">
        <v>41724.723136574074</v>
      </c>
      <c r="B36" s="18">
        <v>41724.723136574074</v>
      </c>
      <c r="C36" s="17">
        <v>41725.339409722219</v>
      </c>
      <c r="D36" s="18">
        <v>41725.339409722219</v>
      </c>
      <c r="E36" s="19">
        <v>7</v>
      </c>
      <c r="F36" s="57" t="s">
        <v>256</v>
      </c>
      <c r="G36" s="19" t="str">
        <f t="shared" si="0"/>
        <v>97899</v>
      </c>
      <c r="H36" s="19" t="s">
        <v>251</v>
      </c>
      <c r="I36" s="19" t="s">
        <v>255</v>
      </c>
      <c r="J36" s="19" t="s">
        <v>190</v>
      </c>
      <c r="K36" s="19" t="s">
        <v>191</v>
      </c>
      <c r="L36" s="19">
        <v>3317</v>
      </c>
      <c r="M36" s="19" t="str">
        <f t="shared" si="3"/>
        <v>Radio 97899_UnitID_3317</v>
      </c>
      <c r="N36" s="55" t="s">
        <v>253</v>
      </c>
      <c r="O36" s="55"/>
      <c r="Q36" s="101">
        <f t="shared" si="4"/>
        <v>0.61627314814541023</v>
      </c>
      <c r="R36" s="19" t="b">
        <v>1</v>
      </c>
      <c r="S36" s="19" t="b">
        <v>1</v>
      </c>
      <c r="V36" s="55" t="s">
        <v>393</v>
      </c>
    </row>
    <row r="37" spans="1:22">
      <c r="A37" s="17">
        <v>41724.723136574074</v>
      </c>
      <c r="B37" s="18">
        <v>41724.723136574074</v>
      </c>
      <c r="C37" s="17">
        <v>41726.755787037036</v>
      </c>
      <c r="D37" s="18">
        <v>41726.755787037036</v>
      </c>
      <c r="E37" s="19">
        <v>7</v>
      </c>
      <c r="F37" s="57" t="s">
        <v>257</v>
      </c>
      <c r="G37" s="19" t="str">
        <f t="shared" si="0"/>
        <v>97865</v>
      </c>
      <c r="H37" s="19" t="s">
        <v>251</v>
      </c>
      <c r="I37" s="19" t="s">
        <v>255</v>
      </c>
      <c r="J37" s="19" t="s">
        <v>190</v>
      </c>
      <c r="K37" s="19" t="s">
        <v>191</v>
      </c>
      <c r="L37" s="19">
        <v>3316</v>
      </c>
      <c r="M37" s="19" t="str">
        <f>CONCATENATE("Radio ",G37,"_UnitID_",L37)</f>
        <v>Radio 97865_UnitID_3316</v>
      </c>
      <c r="N37" s="55" t="s">
        <v>253</v>
      </c>
      <c r="O37" s="55"/>
      <c r="Q37" s="101">
        <f>D37-B37</f>
        <v>2.0326504629629198</v>
      </c>
      <c r="R37" s="19" t="b">
        <v>1</v>
      </c>
      <c r="S37" s="19" t="b">
        <v>1</v>
      </c>
      <c r="V37" s="55" t="s">
        <v>393</v>
      </c>
    </row>
    <row r="38" spans="1:22">
      <c r="A38" s="17">
        <v>41724.723136574074</v>
      </c>
      <c r="B38" s="18">
        <v>41724.723136574074</v>
      </c>
      <c r="C38" s="17">
        <v>41725.339502314811</v>
      </c>
      <c r="D38" s="18">
        <v>41725.339502314811</v>
      </c>
      <c r="E38" s="19">
        <v>7</v>
      </c>
      <c r="F38" s="57" t="s">
        <v>258</v>
      </c>
      <c r="G38" s="19" t="str">
        <f t="shared" si="0"/>
        <v>97882</v>
      </c>
      <c r="H38" s="19" t="s">
        <v>251</v>
      </c>
      <c r="I38" s="19" t="s">
        <v>255</v>
      </c>
      <c r="J38" s="19" t="s">
        <v>190</v>
      </c>
      <c r="K38" s="19" t="s">
        <v>191</v>
      </c>
      <c r="L38" s="19">
        <v>3318</v>
      </c>
      <c r="M38" s="19" t="str">
        <f t="shared" ref="M38:M100" si="5">CONCATENATE("Radio ",G38,"_UnitID_",L38)</f>
        <v>Radio 97882_UnitID_3318</v>
      </c>
      <c r="N38" s="55" t="s">
        <v>253</v>
      </c>
      <c r="O38" s="55"/>
      <c r="Q38" s="101">
        <f t="shared" ref="Q38:Q100" si="6">D38-B38</f>
        <v>0.61636574073781958</v>
      </c>
      <c r="R38" s="19" t="b">
        <v>1</v>
      </c>
      <c r="S38" s="19" t="b">
        <v>1</v>
      </c>
      <c r="V38" s="55" t="s">
        <v>393</v>
      </c>
    </row>
    <row r="39" spans="1:22">
      <c r="A39" s="17">
        <v>41724.723136574074</v>
      </c>
      <c r="B39" s="18">
        <v>41724.723136574074</v>
      </c>
      <c r="C39" s="17">
        <v>41725.349456018521</v>
      </c>
      <c r="D39" s="18">
        <v>41725.349456018521</v>
      </c>
      <c r="E39" s="19">
        <v>7</v>
      </c>
      <c r="F39" s="57" t="s">
        <v>259</v>
      </c>
      <c r="G39" s="19" t="str">
        <f t="shared" si="0"/>
        <v>97804</v>
      </c>
      <c r="H39" s="19" t="s">
        <v>251</v>
      </c>
      <c r="I39" s="19" t="s">
        <v>255</v>
      </c>
      <c r="J39" s="19" t="s">
        <v>190</v>
      </c>
      <c r="K39" s="19" t="s">
        <v>191</v>
      </c>
      <c r="L39" s="19">
        <v>3312</v>
      </c>
      <c r="M39" s="19" t="str">
        <f t="shared" si="5"/>
        <v>Radio 97804_UnitID_3312</v>
      </c>
      <c r="N39" s="55" t="s">
        <v>253</v>
      </c>
      <c r="O39" s="55"/>
      <c r="Q39" s="101">
        <f t="shared" si="6"/>
        <v>0.62631944444729015</v>
      </c>
      <c r="R39" s="19" t="b">
        <v>1</v>
      </c>
      <c r="S39" s="19" t="b">
        <v>1</v>
      </c>
      <c r="V39" s="55" t="s">
        <v>393</v>
      </c>
    </row>
    <row r="40" spans="1:22">
      <c r="A40" s="17">
        <v>41724.723136574074</v>
      </c>
      <c r="B40" s="18">
        <v>41724.723136574074</v>
      </c>
      <c r="C40" s="17">
        <v>41725.352141203701</v>
      </c>
      <c r="D40" s="18">
        <v>41725.352141203701</v>
      </c>
      <c r="E40" s="19">
        <v>7</v>
      </c>
      <c r="F40" s="57" t="s">
        <v>260</v>
      </c>
      <c r="G40" s="19" t="str">
        <f t="shared" si="0"/>
        <v>78655</v>
      </c>
      <c r="H40" s="19" t="s">
        <v>251</v>
      </c>
      <c r="I40" s="19" t="s">
        <v>252</v>
      </c>
      <c r="J40" s="19" t="s">
        <v>190</v>
      </c>
      <c r="K40" s="19" t="s">
        <v>191</v>
      </c>
      <c r="L40" s="19">
        <v>3314</v>
      </c>
      <c r="M40" s="19" t="str">
        <f t="shared" si="5"/>
        <v>Radio 78655_UnitID_3314</v>
      </c>
      <c r="N40" s="55" t="s">
        <v>253</v>
      </c>
      <c r="O40" s="55"/>
      <c r="Q40" s="101">
        <f t="shared" si="6"/>
        <v>0.62900462962716119</v>
      </c>
      <c r="R40" s="19" t="b">
        <v>1</v>
      </c>
      <c r="S40" s="19" t="b">
        <v>1</v>
      </c>
      <c r="V40" s="55" t="s">
        <v>393</v>
      </c>
    </row>
    <row r="41" spans="1:22">
      <c r="A41" s="17">
        <v>41724.723136574074</v>
      </c>
      <c r="B41" s="18">
        <v>41724.723136574074</v>
      </c>
      <c r="C41" s="17">
        <v>41725.359236111108</v>
      </c>
      <c r="D41" s="18">
        <v>41725.359236111108</v>
      </c>
      <c r="E41" s="19">
        <v>7</v>
      </c>
      <c r="F41" s="57" t="s">
        <v>261</v>
      </c>
      <c r="G41" s="19" t="str">
        <f t="shared" si="0"/>
        <v>77820</v>
      </c>
      <c r="H41" s="19" t="s">
        <v>251</v>
      </c>
      <c r="I41" s="19" t="s">
        <v>252</v>
      </c>
      <c r="J41" s="19" t="s">
        <v>190</v>
      </c>
      <c r="K41" s="19" t="s">
        <v>191</v>
      </c>
      <c r="L41" s="19">
        <v>3303</v>
      </c>
      <c r="M41" s="19" t="str">
        <f t="shared" si="5"/>
        <v>Radio 77820_UnitID_3303</v>
      </c>
      <c r="N41" s="55" t="s">
        <v>253</v>
      </c>
      <c r="O41" s="55"/>
      <c r="Q41" s="101">
        <f t="shared" si="6"/>
        <v>0.63609953703416977</v>
      </c>
      <c r="R41" s="19" t="b">
        <v>1</v>
      </c>
      <c r="S41" s="19" t="b">
        <v>1</v>
      </c>
      <c r="V41" s="55" t="s">
        <v>393</v>
      </c>
    </row>
    <row r="42" spans="1:22">
      <c r="A42" s="17">
        <v>41724.723136574074</v>
      </c>
      <c r="B42" s="18">
        <v>41724.723136574074</v>
      </c>
      <c r="C42" s="17">
        <v>41725.359317129631</v>
      </c>
      <c r="D42" s="18">
        <v>41725.359317129631</v>
      </c>
      <c r="E42" s="19">
        <v>7</v>
      </c>
      <c r="F42" s="57" t="s">
        <v>262</v>
      </c>
      <c r="G42" s="19" t="str">
        <f t="shared" si="0"/>
        <v>78727</v>
      </c>
      <c r="H42" s="19" t="s">
        <v>251</v>
      </c>
      <c r="I42" s="19" t="s">
        <v>252</v>
      </c>
      <c r="J42" s="19" t="s">
        <v>190</v>
      </c>
      <c r="K42" s="19" t="s">
        <v>191</v>
      </c>
      <c r="L42" s="19">
        <v>3300</v>
      </c>
      <c r="M42" s="19" t="str">
        <f t="shared" si="5"/>
        <v>Radio 78727_UnitID_3300</v>
      </c>
      <c r="N42" s="55" t="s">
        <v>253</v>
      </c>
      <c r="O42" s="55"/>
      <c r="Q42" s="101">
        <f t="shared" si="6"/>
        <v>0.63618055555707542</v>
      </c>
      <c r="R42" s="19" t="b">
        <v>1</v>
      </c>
      <c r="S42" s="19" t="b">
        <v>1</v>
      </c>
      <c r="V42" s="55" t="s">
        <v>393</v>
      </c>
    </row>
    <row r="43" spans="1:22">
      <c r="A43" s="17">
        <v>41724.723136574074</v>
      </c>
      <c r="B43" s="18">
        <v>41724.723136574074</v>
      </c>
      <c r="C43" s="17">
        <v>41725.352071759262</v>
      </c>
      <c r="D43" s="18">
        <v>41725.352071759262</v>
      </c>
      <c r="E43" s="19">
        <v>7</v>
      </c>
      <c r="F43" s="57" t="s">
        <v>263</v>
      </c>
      <c r="G43" s="19" t="str">
        <f t="shared" si="0"/>
        <v>78586</v>
      </c>
      <c r="H43" s="19" t="s">
        <v>251</v>
      </c>
      <c r="I43" s="19" t="s">
        <v>252</v>
      </c>
      <c r="J43" s="19" t="s">
        <v>190</v>
      </c>
      <c r="K43" s="19" t="s">
        <v>191</v>
      </c>
      <c r="L43" s="19">
        <v>3304</v>
      </c>
      <c r="M43" s="19" t="str">
        <f t="shared" si="5"/>
        <v>Radio 78586_UnitID_3304</v>
      </c>
      <c r="N43" s="55" t="s">
        <v>253</v>
      </c>
      <c r="O43" s="55"/>
      <c r="Q43" s="101">
        <f t="shared" si="6"/>
        <v>0.62893518518831115</v>
      </c>
      <c r="R43" s="19" t="b">
        <v>1</v>
      </c>
      <c r="S43" s="19" t="b">
        <v>1</v>
      </c>
      <c r="V43" s="55" t="s">
        <v>393</v>
      </c>
    </row>
    <row r="44" spans="1:22">
      <c r="A44" s="17">
        <v>41724.723136574074</v>
      </c>
      <c r="B44" s="18">
        <v>41724.723136574074</v>
      </c>
      <c r="C44" s="17">
        <v>41725.343877314815</v>
      </c>
      <c r="D44" s="18">
        <v>41725.343877314815</v>
      </c>
      <c r="E44" s="19">
        <v>7</v>
      </c>
      <c r="F44" s="57" t="s">
        <v>264</v>
      </c>
      <c r="G44" s="19" t="str">
        <f t="shared" si="0"/>
        <v>78673</v>
      </c>
      <c r="H44" s="19" t="s">
        <v>251</v>
      </c>
      <c r="I44" s="19" t="s">
        <v>252</v>
      </c>
      <c r="J44" s="19" t="s">
        <v>190</v>
      </c>
      <c r="K44" s="19" t="s">
        <v>191</v>
      </c>
      <c r="L44" s="19">
        <v>3306</v>
      </c>
      <c r="M44" s="19" t="str">
        <f t="shared" si="5"/>
        <v>Radio 78673_UnitID_3306</v>
      </c>
      <c r="N44" s="55" t="s">
        <v>253</v>
      </c>
      <c r="O44" s="55"/>
      <c r="Q44" s="101">
        <f t="shared" si="6"/>
        <v>0.62074074074189411</v>
      </c>
      <c r="R44" s="19" t="b">
        <v>1</v>
      </c>
      <c r="S44" s="19" t="b">
        <v>1</v>
      </c>
      <c r="V44" s="55" t="s">
        <v>393</v>
      </c>
    </row>
    <row r="45" spans="1:22">
      <c r="A45" s="17">
        <v>41724.723136574074</v>
      </c>
      <c r="B45" s="18">
        <v>41724.723136574074</v>
      </c>
      <c r="C45" s="17">
        <v>41725.360474537039</v>
      </c>
      <c r="D45" s="18">
        <v>41725.360474537039</v>
      </c>
      <c r="E45" s="19">
        <v>7</v>
      </c>
      <c r="F45" s="57" t="s">
        <v>265</v>
      </c>
      <c r="G45" s="19" t="str">
        <f t="shared" si="0"/>
        <v>97819</v>
      </c>
      <c r="H45" s="19" t="s">
        <v>251</v>
      </c>
      <c r="I45" s="19" t="s">
        <v>255</v>
      </c>
      <c r="J45" s="19" t="s">
        <v>190</v>
      </c>
      <c r="K45" s="19" t="s">
        <v>191</v>
      </c>
      <c r="L45" s="19">
        <v>3315</v>
      </c>
      <c r="M45" s="19" t="str">
        <f t="shared" si="5"/>
        <v>Radio 97819_UnitID_3315</v>
      </c>
      <c r="N45" s="55" t="s">
        <v>253</v>
      </c>
      <c r="O45" s="55"/>
      <c r="Q45" s="101">
        <f t="shared" si="6"/>
        <v>0.63733796296583023</v>
      </c>
      <c r="R45" s="19" t="b">
        <v>1</v>
      </c>
      <c r="S45" s="19" t="b">
        <v>1</v>
      </c>
      <c r="V45" s="55" t="s">
        <v>393</v>
      </c>
    </row>
    <row r="46" spans="1:22">
      <c r="A46" s="17">
        <v>41724.723136574074</v>
      </c>
      <c r="B46" s="18">
        <v>41724.723136574074</v>
      </c>
      <c r="C46" s="17">
        <v>41725.356724537036</v>
      </c>
      <c r="D46" s="18">
        <v>41725.356724537036</v>
      </c>
      <c r="E46" s="19">
        <v>7</v>
      </c>
      <c r="F46" s="57" t="s">
        <v>266</v>
      </c>
      <c r="G46" s="19" t="str">
        <f t="shared" si="0"/>
        <v>97848</v>
      </c>
      <c r="H46" s="19" t="s">
        <v>251</v>
      </c>
      <c r="I46" s="19" t="s">
        <v>255</v>
      </c>
      <c r="J46" s="19" t="s">
        <v>190</v>
      </c>
      <c r="K46" s="19" t="s">
        <v>191</v>
      </c>
      <c r="L46" s="19">
        <v>3319</v>
      </c>
      <c r="M46" s="19" t="str">
        <f t="shared" si="5"/>
        <v>Radio 97848_UnitID_3319</v>
      </c>
      <c r="N46" s="55" t="s">
        <v>253</v>
      </c>
      <c r="O46" s="55"/>
      <c r="Q46" s="101">
        <f t="shared" si="6"/>
        <v>0.63358796296233777</v>
      </c>
      <c r="R46" s="19" t="b">
        <v>1</v>
      </c>
      <c r="S46" s="19" t="b">
        <v>1</v>
      </c>
      <c r="V46" s="55" t="s">
        <v>393</v>
      </c>
    </row>
    <row r="47" spans="1:22">
      <c r="A47" s="17">
        <v>41725.287199074075</v>
      </c>
      <c r="B47" s="18">
        <v>41725.287199074075</v>
      </c>
      <c r="C47" s="17">
        <v>41726.612245370372</v>
      </c>
      <c r="D47" s="18">
        <v>41726.612245370372</v>
      </c>
      <c r="E47" s="19">
        <v>7</v>
      </c>
      <c r="F47" s="57" t="s">
        <v>267</v>
      </c>
      <c r="G47" s="19" t="str">
        <f t="shared" si="0"/>
        <v>11644</v>
      </c>
      <c r="H47" s="19" t="s">
        <v>268</v>
      </c>
      <c r="I47" s="19" t="s">
        <v>269</v>
      </c>
      <c r="J47" s="19" t="s">
        <v>190</v>
      </c>
      <c r="K47" s="19" t="s">
        <v>191</v>
      </c>
      <c r="L47" s="19">
        <v>3392</v>
      </c>
      <c r="M47" s="19" t="str">
        <f t="shared" si="5"/>
        <v>Radio 11644_UnitID_3392</v>
      </c>
      <c r="N47" s="55" t="s">
        <v>253</v>
      </c>
      <c r="O47" s="55"/>
      <c r="Q47" s="101">
        <f t="shared" si="6"/>
        <v>1.3250462962969323</v>
      </c>
      <c r="R47" s="19" t="b">
        <v>1</v>
      </c>
      <c r="S47" s="19" t="b">
        <v>1</v>
      </c>
      <c r="V47" s="55" t="s">
        <v>393</v>
      </c>
    </row>
    <row r="48" spans="1:22">
      <c r="A48" s="17">
        <v>41725.287199074075</v>
      </c>
      <c r="B48" s="18">
        <v>41725.287199074075</v>
      </c>
      <c r="C48" s="17">
        <v>41726.611122685186</v>
      </c>
      <c r="D48" s="18">
        <v>41726.611122685186</v>
      </c>
      <c r="E48" s="19">
        <v>7</v>
      </c>
      <c r="F48" s="57" t="s">
        <v>270</v>
      </c>
      <c r="G48" s="19" t="str">
        <f t="shared" si="0"/>
        <v>11491</v>
      </c>
      <c r="H48" s="19" t="s">
        <v>268</v>
      </c>
      <c r="I48" s="19" t="s">
        <v>269</v>
      </c>
      <c r="J48" s="19" t="s">
        <v>190</v>
      </c>
      <c r="K48" s="19" t="s">
        <v>191</v>
      </c>
      <c r="L48" s="19">
        <v>3310</v>
      </c>
      <c r="M48" s="19" t="str">
        <f t="shared" si="5"/>
        <v>Radio 11491_UnitID_3310</v>
      </c>
      <c r="N48" s="55" t="s">
        <v>253</v>
      </c>
      <c r="O48" s="55"/>
      <c r="Q48" s="101">
        <f t="shared" si="6"/>
        <v>1.3239236111112405</v>
      </c>
      <c r="R48" s="19" t="b">
        <v>1</v>
      </c>
      <c r="S48" s="19" t="b">
        <v>1</v>
      </c>
      <c r="V48" s="55" t="s">
        <v>393</v>
      </c>
    </row>
    <row r="49" spans="1:22">
      <c r="A49" s="17">
        <v>41725.287199074075</v>
      </c>
      <c r="B49" s="18">
        <v>41725.287199074075</v>
      </c>
      <c r="C49" s="17">
        <v>41726.610636574071</v>
      </c>
      <c r="D49" s="18">
        <v>41726.610636574071</v>
      </c>
      <c r="E49" s="19">
        <v>7</v>
      </c>
      <c r="F49" s="57" t="s">
        <v>271</v>
      </c>
      <c r="G49" s="19" t="str">
        <f t="shared" si="0"/>
        <v>19635</v>
      </c>
      <c r="H49" s="19" t="s">
        <v>272</v>
      </c>
      <c r="I49" s="19" t="s">
        <v>190</v>
      </c>
      <c r="J49" s="19" t="s">
        <v>206</v>
      </c>
      <c r="K49" s="19" t="s">
        <v>191</v>
      </c>
      <c r="L49" s="19">
        <v>3302</v>
      </c>
      <c r="M49" s="19" t="str">
        <f t="shared" si="5"/>
        <v>Radio 19635_UnitID_3302</v>
      </c>
      <c r="N49" s="55" t="s">
        <v>253</v>
      </c>
      <c r="O49" s="55"/>
      <c r="Q49" s="101">
        <f t="shared" si="6"/>
        <v>1.3234374999956344</v>
      </c>
      <c r="R49" s="19" t="b">
        <v>1</v>
      </c>
      <c r="S49" s="19" t="b">
        <v>1</v>
      </c>
      <c r="V49" s="55" t="s">
        <v>394</v>
      </c>
    </row>
    <row r="50" spans="1:22">
      <c r="A50" s="17">
        <v>41725.287199074075</v>
      </c>
      <c r="B50" s="18">
        <v>41725.287199074075</v>
      </c>
      <c r="C50" s="17">
        <v>41726.610335648147</v>
      </c>
      <c r="D50" s="18">
        <v>41726.610335648147</v>
      </c>
      <c r="E50" s="19">
        <v>7</v>
      </c>
      <c r="F50" s="57" t="s">
        <v>273</v>
      </c>
      <c r="G50" s="19" t="str">
        <f t="shared" si="0"/>
        <v>11627</v>
      </c>
      <c r="H50" s="19" t="s">
        <v>268</v>
      </c>
      <c r="I50" s="19" t="s">
        <v>269</v>
      </c>
      <c r="J50" s="19" t="s">
        <v>190</v>
      </c>
      <c r="K50" s="19" t="s">
        <v>191</v>
      </c>
      <c r="L50" s="19">
        <v>3309</v>
      </c>
      <c r="M50" s="19" t="str">
        <f t="shared" si="5"/>
        <v>Radio 11627_UnitID_3309</v>
      </c>
      <c r="N50" s="55" t="s">
        <v>253</v>
      </c>
      <c r="O50" s="55"/>
      <c r="Q50" s="101">
        <f t="shared" si="6"/>
        <v>1.323136574072123</v>
      </c>
      <c r="R50" s="19" t="b">
        <v>1</v>
      </c>
      <c r="S50" s="19" t="b">
        <v>1</v>
      </c>
      <c r="V50" s="55" t="s">
        <v>394</v>
      </c>
    </row>
    <row r="51" spans="1:22">
      <c r="A51" s="17">
        <v>41725.287199074075</v>
      </c>
      <c r="B51" s="18">
        <v>41725.287199074075</v>
      </c>
      <c r="C51" s="17">
        <v>41726.610011574077</v>
      </c>
      <c r="D51" s="18">
        <v>41726.610011574077</v>
      </c>
      <c r="E51" s="19">
        <v>7</v>
      </c>
      <c r="F51" s="57" t="s">
        <v>274</v>
      </c>
      <c r="G51" s="19" t="str">
        <f t="shared" si="0"/>
        <v>11692</v>
      </c>
      <c r="H51" s="19" t="s">
        <v>268</v>
      </c>
      <c r="I51" s="19" t="s">
        <v>269</v>
      </c>
      <c r="J51" s="19" t="s">
        <v>190</v>
      </c>
      <c r="K51" s="19" t="s">
        <v>191</v>
      </c>
      <c r="L51" s="19">
        <v>3307</v>
      </c>
      <c r="M51" s="19" t="str">
        <f t="shared" si="5"/>
        <v>Radio 11692_UnitID_3307</v>
      </c>
      <c r="N51" s="55" t="s">
        <v>253</v>
      </c>
      <c r="O51" s="55"/>
      <c r="Q51" s="101">
        <f t="shared" si="6"/>
        <v>1.3228125000023283</v>
      </c>
      <c r="R51" s="19" t="b">
        <v>1</v>
      </c>
      <c r="S51" s="19" t="b">
        <v>1</v>
      </c>
      <c r="V51" s="55" t="s">
        <v>393</v>
      </c>
    </row>
    <row r="52" spans="1:22">
      <c r="A52" s="17">
        <v>41725.294722222221</v>
      </c>
      <c r="B52" s="18">
        <v>41725.294722222221</v>
      </c>
      <c r="C52" s="17">
        <v>41726.612835648149</v>
      </c>
      <c r="D52" s="18">
        <v>41726.612835648149</v>
      </c>
      <c r="E52" s="19">
        <v>7</v>
      </c>
      <c r="F52" s="57" t="s">
        <v>275</v>
      </c>
      <c r="G52" s="19" t="str">
        <f t="shared" si="0"/>
        <v>19645</v>
      </c>
      <c r="H52" s="19" t="s">
        <v>272</v>
      </c>
      <c r="I52" s="19" t="s">
        <v>190</v>
      </c>
      <c r="J52" s="19" t="s">
        <v>206</v>
      </c>
      <c r="K52" s="19" t="s">
        <v>191</v>
      </c>
      <c r="L52" s="19">
        <v>3320</v>
      </c>
      <c r="M52" s="19" t="str">
        <f t="shared" si="5"/>
        <v>Radio 19645_UnitID_3320</v>
      </c>
      <c r="N52" s="55" t="s">
        <v>253</v>
      </c>
      <c r="O52" s="55"/>
      <c r="Q52" s="101">
        <f t="shared" si="6"/>
        <v>1.318113425928459</v>
      </c>
      <c r="R52" s="19" t="b">
        <v>1</v>
      </c>
      <c r="S52" s="19" t="b">
        <v>1</v>
      </c>
      <c r="V52" s="55" t="s">
        <v>393</v>
      </c>
    </row>
    <row r="53" spans="1:22">
      <c r="A53" s="17">
        <v>41725.294722222221</v>
      </c>
      <c r="B53" s="18">
        <v>41725.294722222221</v>
      </c>
      <c r="C53" s="17">
        <v>41726.613877314812</v>
      </c>
      <c r="D53" s="18">
        <v>41726.613877314812</v>
      </c>
      <c r="E53" s="19">
        <v>7</v>
      </c>
      <c r="F53" s="57" t="s">
        <v>276</v>
      </c>
      <c r="G53" s="19" t="str">
        <f t="shared" si="0"/>
        <v>11629</v>
      </c>
      <c r="H53" s="19" t="s">
        <v>268</v>
      </c>
      <c r="I53" s="19" t="s">
        <v>269</v>
      </c>
      <c r="J53" s="19" t="s">
        <v>190</v>
      </c>
      <c r="K53" s="19" t="s">
        <v>191</v>
      </c>
      <c r="L53" s="19">
        <v>3311</v>
      </c>
      <c r="M53" s="19" t="str">
        <f t="shared" si="5"/>
        <v>Radio 11629_UnitID_3311</v>
      </c>
      <c r="N53" s="55" t="s">
        <v>253</v>
      </c>
      <c r="O53" s="55"/>
      <c r="Q53" s="101">
        <f t="shared" si="6"/>
        <v>1.3191550925912452</v>
      </c>
      <c r="R53" s="19" t="b">
        <v>1</v>
      </c>
      <c r="S53" s="19" t="b">
        <v>1</v>
      </c>
      <c r="V53" s="55" t="s">
        <v>393</v>
      </c>
    </row>
    <row r="54" spans="1:22">
      <c r="A54" s="17">
        <v>41726.656400462962</v>
      </c>
      <c r="B54" s="18">
        <v>41726.656400462962</v>
      </c>
      <c r="C54" s="17">
        <v>41726.65697916667</v>
      </c>
      <c r="D54" s="18">
        <v>41726.65697916667</v>
      </c>
      <c r="E54" s="19">
        <v>7</v>
      </c>
      <c r="F54" s="57" t="s">
        <v>396</v>
      </c>
      <c r="G54" s="19" t="str">
        <f>RIGHT(F54,5)</f>
        <v>11593</v>
      </c>
      <c r="H54" s="104" t="s">
        <v>268</v>
      </c>
      <c r="I54" s="19" t="s">
        <v>269</v>
      </c>
      <c r="J54" s="19" t="s">
        <v>190</v>
      </c>
      <c r="K54" s="19" t="s">
        <v>191</v>
      </c>
      <c r="L54" s="19">
        <v>3330</v>
      </c>
      <c r="M54" s="19" t="str">
        <f t="shared" si="5"/>
        <v>Radio 11593_UnitID_3330</v>
      </c>
      <c r="N54" s="55" t="s">
        <v>253</v>
      </c>
      <c r="O54" s="55"/>
      <c r="Q54" s="101">
        <f t="shared" si="6"/>
        <v>5.7870370801538229E-4</v>
      </c>
      <c r="R54" s="19" t="b">
        <v>1</v>
      </c>
      <c r="S54" s="19" t="b">
        <v>1</v>
      </c>
      <c r="V54" s="55" t="s">
        <v>393</v>
      </c>
    </row>
    <row r="55" spans="1:22">
      <c r="A55" s="17">
        <v>41725.389918981484</v>
      </c>
      <c r="B55" s="18">
        <v>41725.389918981484</v>
      </c>
      <c r="C55" s="17">
        <v>41725.47760416667</v>
      </c>
      <c r="D55" s="18">
        <v>41725.47760416667</v>
      </c>
      <c r="F55" s="57" t="s">
        <v>282</v>
      </c>
      <c r="G55" s="19" t="str">
        <f t="shared" si="0"/>
        <v>61894</v>
      </c>
      <c r="H55" s="19" t="s">
        <v>293</v>
      </c>
      <c r="I55" s="19" t="s">
        <v>187</v>
      </c>
      <c r="J55" s="19" t="s">
        <v>206</v>
      </c>
      <c r="K55" s="19" t="s">
        <v>226</v>
      </c>
      <c r="L55" s="19">
        <v>2720</v>
      </c>
      <c r="M55" s="19" t="str">
        <f t="shared" si="5"/>
        <v>Radio 61894_UnitID_2720</v>
      </c>
      <c r="N55" s="55" t="s">
        <v>284</v>
      </c>
      <c r="O55" s="55"/>
      <c r="P55" s="19" t="s">
        <v>294</v>
      </c>
      <c r="Q55" s="101">
        <f t="shared" si="6"/>
        <v>8.7685185186273884E-2</v>
      </c>
      <c r="R55" s="19" t="b">
        <v>1</v>
      </c>
      <c r="S55" s="19" t="b">
        <v>1</v>
      </c>
    </row>
    <row r="56" spans="1:22">
      <c r="A56" s="17">
        <v>41725.391817129632</v>
      </c>
      <c r="B56" s="18">
        <v>41725.391817129632</v>
      </c>
      <c r="C56" s="17">
        <v>41725.490601851852</v>
      </c>
      <c r="D56" s="18">
        <v>41725.490601851852</v>
      </c>
      <c r="E56" s="19">
        <v>12</v>
      </c>
      <c r="F56" s="57" t="s">
        <v>283</v>
      </c>
      <c r="G56" s="19" t="str">
        <f t="shared" si="0"/>
        <v>87765</v>
      </c>
      <c r="H56" s="19" t="s">
        <v>196</v>
      </c>
      <c r="I56" s="19" t="s">
        <v>187</v>
      </c>
      <c r="J56" s="19" t="s">
        <v>206</v>
      </c>
      <c r="K56" s="19" t="s">
        <v>226</v>
      </c>
      <c r="L56" s="19">
        <v>2761</v>
      </c>
      <c r="M56" s="19" t="str">
        <f t="shared" si="5"/>
        <v>Radio 87765_UnitID_2761</v>
      </c>
      <c r="N56" s="55" t="s">
        <v>284</v>
      </c>
      <c r="O56" s="55"/>
      <c r="P56" s="19" t="s">
        <v>221</v>
      </c>
      <c r="Q56" s="101">
        <f t="shared" si="6"/>
        <v>9.8784722220443655E-2</v>
      </c>
      <c r="R56" s="19" t="b">
        <v>1</v>
      </c>
      <c r="S56" s="19" t="b">
        <v>1</v>
      </c>
    </row>
    <row r="57" spans="1:22" ht="45">
      <c r="A57" s="17">
        <v>41725.395092592589</v>
      </c>
      <c r="B57" s="18">
        <v>41725.395092592589</v>
      </c>
      <c r="C57" s="17">
        <v>41725.418738425928</v>
      </c>
      <c r="D57" s="18">
        <v>41725.418738425928</v>
      </c>
      <c r="E57" s="19">
        <v>12</v>
      </c>
      <c r="F57" s="57" t="s">
        <v>285</v>
      </c>
      <c r="G57" s="19" t="str">
        <f t="shared" si="0"/>
        <v>15452</v>
      </c>
      <c r="H57" s="19" t="s">
        <v>188</v>
      </c>
      <c r="I57" s="19" t="s">
        <v>189</v>
      </c>
      <c r="J57" s="19" t="s">
        <v>190</v>
      </c>
      <c r="K57" s="19" t="s">
        <v>191</v>
      </c>
      <c r="L57" s="19">
        <v>2721</v>
      </c>
      <c r="M57" s="19" t="str">
        <f t="shared" si="5"/>
        <v>Radio 15452_UnitID_2721</v>
      </c>
      <c r="N57" s="55" t="s">
        <v>284</v>
      </c>
      <c r="O57" s="55" t="s">
        <v>292</v>
      </c>
      <c r="P57" s="19" t="s">
        <v>221</v>
      </c>
      <c r="Q57" s="101">
        <f t="shared" si="6"/>
        <v>2.3645833338377997E-2</v>
      </c>
      <c r="R57" s="19" t="b">
        <v>1</v>
      </c>
      <c r="S57" s="19" t="b">
        <v>1</v>
      </c>
    </row>
    <row r="58" spans="1:22">
      <c r="A58" s="17">
        <v>41725.395092592589</v>
      </c>
      <c r="B58" s="18">
        <v>41725.395092592589</v>
      </c>
      <c r="C58" s="17">
        <v>41725.452337962961</v>
      </c>
      <c r="D58" s="18">
        <v>41725.452337962961</v>
      </c>
      <c r="E58" s="19">
        <v>12</v>
      </c>
      <c r="F58" s="57" t="s">
        <v>286</v>
      </c>
      <c r="G58" s="19" t="str">
        <f t="shared" si="0"/>
        <v>13275</v>
      </c>
      <c r="H58" s="19" t="s">
        <v>188</v>
      </c>
      <c r="I58" s="19" t="s">
        <v>245</v>
      </c>
      <c r="J58" s="19" t="s">
        <v>190</v>
      </c>
      <c r="K58" s="19" t="s">
        <v>191</v>
      </c>
      <c r="L58" s="19">
        <v>2751</v>
      </c>
      <c r="M58" s="19" t="str">
        <f t="shared" si="5"/>
        <v>Radio 13275_UnitID_2751</v>
      </c>
      <c r="N58" s="55" t="s">
        <v>284</v>
      </c>
      <c r="O58" s="55"/>
      <c r="P58" s="19" t="s">
        <v>279</v>
      </c>
      <c r="Q58" s="101">
        <f t="shared" si="6"/>
        <v>5.7245370371674653E-2</v>
      </c>
      <c r="R58" s="19" t="b">
        <v>1</v>
      </c>
      <c r="S58" s="19" t="b">
        <v>1</v>
      </c>
    </row>
    <row r="59" spans="1:22">
      <c r="A59" s="17">
        <v>41725.395092592589</v>
      </c>
      <c r="B59" s="18">
        <v>41725.395092592589</v>
      </c>
      <c r="C59" s="17">
        <v>41725.449803240743</v>
      </c>
      <c r="D59" s="18">
        <v>41725.449803240743</v>
      </c>
      <c r="E59" s="19">
        <v>12</v>
      </c>
      <c r="F59" s="57" t="s">
        <v>287</v>
      </c>
      <c r="G59" s="19" t="str">
        <f t="shared" si="0"/>
        <v>15486</v>
      </c>
      <c r="H59" s="19" t="s">
        <v>188</v>
      </c>
      <c r="I59" s="19" t="s">
        <v>189</v>
      </c>
      <c r="J59" s="19" t="s">
        <v>190</v>
      </c>
      <c r="K59" s="19" t="s">
        <v>191</v>
      </c>
      <c r="L59" s="19">
        <v>2731</v>
      </c>
      <c r="M59" s="19" t="str">
        <f t="shared" si="5"/>
        <v>Radio 15486_UnitID_2731</v>
      </c>
      <c r="N59" s="55" t="s">
        <v>284</v>
      </c>
      <c r="O59" s="55"/>
      <c r="P59" s="19" t="s">
        <v>279</v>
      </c>
      <c r="Q59" s="101">
        <f t="shared" si="6"/>
        <v>5.4710648153559305E-2</v>
      </c>
      <c r="R59" s="19" t="b">
        <v>1</v>
      </c>
      <c r="S59" s="19" t="b">
        <v>1</v>
      </c>
    </row>
    <row r="60" spans="1:22">
      <c r="A60" s="17">
        <v>41725.395092592589</v>
      </c>
      <c r="B60" s="18">
        <v>41725.395092592589</v>
      </c>
      <c r="C60" s="17">
        <v>41725.431701388887</v>
      </c>
      <c r="D60" s="18">
        <v>41725.431701388887</v>
      </c>
      <c r="E60" s="19">
        <v>12</v>
      </c>
      <c r="F60" s="57" t="s">
        <v>288</v>
      </c>
      <c r="G60" s="19" t="str">
        <f t="shared" si="0"/>
        <v>15432</v>
      </c>
      <c r="H60" s="19" t="s">
        <v>188</v>
      </c>
      <c r="I60" s="19" t="s">
        <v>245</v>
      </c>
      <c r="J60" s="19" t="s">
        <v>190</v>
      </c>
      <c r="K60" s="19" t="s">
        <v>191</v>
      </c>
      <c r="L60" s="19">
        <v>2711</v>
      </c>
      <c r="M60" s="19" t="str">
        <f t="shared" si="5"/>
        <v>Radio 15432_UnitID_2711</v>
      </c>
      <c r="N60" s="55" t="s">
        <v>284</v>
      </c>
      <c r="O60" s="55"/>
      <c r="P60" s="19" t="s">
        <v>241</v>
      </c>
      <c r="Q60" s="101">
        <f t="shared" si="6"/>
        <v>3.6608796297514345E-2</v>
      </c>
      <c r="R60" s="19" t="b">
        <v>1</v>
      </c>
      <c r="S60" s="19" t="b">
        <v>1</v>
      </c>
    </row>
    <row r="61" spans="1:22" ht="30">
      <c r="A61" s="17">
        <v>41725.398506944446</v>
      </c>
      <c r="B61" s="18">
        <v>41725.398506944446</v>
      </c>
      <c r="C61" s="17">
        <v>41725.409004629626</v>
      </c>
      <c r="D61" s="18">
        <v>41725.409004629626</v>
      </c>
      <c r="E61" s="19">
        <v>11</v>
      </c>
      <c r="F61" s="57" t="s">
        <v>289</v>
      </c>
      <c r="G61" s="19" t="str">
        <f t="shared" si="0"/>
        <v>15995</v>
      </c>
      <c r="H61" s="19" t="s">
        <v>188</v>
      </c>
      <c r="I61" s="19" t="s">
        <v>189</v>
      </c>
      <c r="J61" s="19" t="s">
        <v>190</v>
      </c>
      <c r="K61" s="19" t="s">
        <v>191</v>
      </c>
      <c r="L61" s="19">
        <v>2932</v>
      </c>
      <c r="M61" s="19" t="str">
        <f t="shared" si="5"/>
        <v>Radio 15995_UnitID_2932</v>
      </c>
      <c r="N61" s="55" t="s">
        <v>290</v>
      </c>
      <c r="O61" s="55" t="s">
        <v>291</v>
      </c>
      <c r="P61" s="19" t="s">
        <v>241</v>
      </c>
      <c r="Q61" s="101">
        <f t="shared" si="6"/>
        <v>1.0497685179871041E-2</v>
      </c>
      <c r="R61" s="19" t="b">
        <v>1</v>
      </c>
      <c r="S61" s="19" t="b">
        <v>1</v>
      </c>
    </row>
    <row r="62" spans="1:22" ht="30">
      <c r="A62" s="17">
        <v>41725.548368055555</v>
      </c>
      <c r="B62" s="18">
        <v>41725.548368055555</v>
      </c>
      <c r="C62" s="17">
        <v>41725.77140046296</v>
      </c>
      <c r="D62" s="18">
        <v>41725.77140046296</v>
      </c>
      <c r="E62" s="19">
        <v>14</v>
      </c>
      <c r="F62" s="57" t="s">
        <v>297</v>
      </c>
      <c r="G62" s="19" t="str">
        <f t="shared" si="0"/>
        <v>17261</v>
      </c>
      <c r="H62" s="19" t="s">
        <v>244</v>
      </c>
      <c r="I62" s="19" t="s">
        <v>245</v>
      </c>
      <c r="J62" s="19" t="s">
        <v>190</v>
      </c>
      <c r="K62" s="19" t="s">
        <v>191</v>
      </c>
      <c r="L62" s="19">
        <v>2931</v>
      </c>
      <c r="M62" s="19" t="str">
        <f t="shared" si="5"/>
        <v>Radio 17261_UnitID_2931</v>
      </c>
      <c r="N62" s="55" t="s">
        <v>298</v>
      </c>
      <c r="O62" s="55"/>
      <c r="P62" s="19" t="s">
        <v>204</v>
      </c>
      <c r="Q62" s="101">
        <f t="shared" si="6"/>
        <v>0.22303240740438923</v>
      </c>
      <c r="R62" s="19" t="b">
        <v>1</v>
      </c>
      <c r="S62" s="19" t="b">
        <v>1</v>
      </c>
    </row>
    <row r="63" spans="1:22">
      <c r="A63" s="17">
        <v>41725.548368055555</v>
      </c>
      <c r="B63" s="18">
        <v>41725.548368055555</v>
      </c>
      <c r="C63" s="17">
        <v>41725.771516203706</v>
      </c>
      <c r="D63" s="18">
        <v>41725.771516203706</v>
      </c>
      <c r="E63" s="19">
        <v>15</v>
      </c>
      <c r="F63" s="57" t="s">
        <v>299</v>
      </c>
      <c r="G63" s="19" t="str">
        <f t="shared" si="0"/>
        <v>15130</v>
      </c>
      <c r="H63" s="19" t="s">
        <v>188</v>
      </c>
      <c r="I63" s="19" t="s">
        <v>189</v>
      </c>
      <c r="J63" s="19" t="s">
        <v>190</v>
      </c>
      <c r="K63" s="19" t="s">
        <v>191</v>
      </c>
      <c r="L63" s="19">
        <v>2821</v>
      </c>
      <c r="M63" s="19" t="str">
        <f t="shared" si="5"/>
        <v>Radio 15130_UnitID_2821</v>
      </c>
      <c r="N63" s="55" t="s">
        <v>300</v>
      </c>
      <c r="O63" s="55"/>
      <c r="P63" s="19" t="s">
        <v>241</v>
      </c>
      <c r="Q63" s="101">
        <f t="shared" si="6"/>
        <v>0.22314814815035788</v>
      </c>
      <c r="R63" s="19" t="b">
        <v>1</v>
      </c>
      <c r="S63" s="19" t="b">
        <v>1</v>
      </c>
    </row>
    <row r="64" spans="1:22">
      <c r="A64" s="17">
        <v>41725.548368055555</v>
      </c>
      <c r="B64" s="18">
        <v>41725.548368055555</v>
      </c>
      <c r="C64" s="17">
        <v>41725.709340277775</v>
      </c>
      <c r="D64" s="18">
        <v>41725.709340277775</v>
      </c>
      <c r="E64" s="19">
        <v>16</v>
      </c>
      <c r="F64" s="57" t="s">
        <v>301</v>
      </c>
      <c r="G64" s="19" t="str">
        <f t="shared" si="0"/>
        <v>15658</v>
      </c>
      <c r="H64" s="19" t="s">
        <v>188</v>
      </c>
      <c r="I64" s="19" t="s">
        <v>189</v>
      </c>
      <c r="J64" s="19" t="s">
        <v>190</v>
      </c>
      <c r="K64" s="19" t="s">
        <v>191</v>
      </c>
      <c r="L64" s="19">
        <v>2631</v>
      </c>
      <c r="M64" s="19" t="str">
        <f t="shared" si="5"/>
        <v>Radio 15658_UnitID_2631</v>
      </c>
      <c r="N64" s="55" t="s">
        <v>333</v>
      </c>
      <c r="O64" s="55" t="s">
        <v>334</v>
      </c>
      <c r="P64" s="19" t="s">
        <v>279</v>
      </c>
      <c r="Q64" s="101">
        <f t="shared" si="6"/>
        <v>0.16097222222015262</v>
      </c>
      <c r="R64" s="19" t="b">
        <v>1</v>
      </c>
      <c r="S64" s="19" t="b">
        <v>1</v>
      </c>
    </row>
    <row r="65" spans="1:24">
      <c r="A65" s="17">
        <v>41725.548368055555</v>
      </c>
      <c r="B65" s="18">
        <v>41725.548368055555</v>
      </c>
      <c r="C65" s="17">
        <v>41725.726898148147</v>
      </c>
      <c r="D65" s="18">
        <v>41725.726898148147</v>
      </c>
      <c r="E65" s="19">
        <v>16</v>
      </c>
      <c r="F65" s="57" t="s">
        <v>302</v>
      </c>
      <c r="G65" s="19" t="str">
        <f t="shared" si="0"/>
        <v>85712</v>
      </c>
      <c r="H65" s="19" t="s">
        <v>188</v>
      </c>
      <c r="I65" s="19" t="s">
        <v>189</v>
      </c>
      <c r="J65" s="19" t="s">
        <v>190</v>
      </c>
      <c r="K65" s="19" t="s">
        <v>191</v>
      </c>
      <c r="L65" s="19">
        <v>2641</v>
      </c>
      <c r="M65" s="19" t="str">
        <f t="shared" si="5"/>
        <v>Radio 85712_UnitID_2641</v>
      </c>
      <c r="N65" s="55" t="s">
        <v>333</v>
      </c>
      <c r="O65" s="55" t="s">
        <v>509</v>
      </c>
      <c r="P65" s="19" t="s">
        <v>279</v>
      </c>
      <c r="Q65" s="101">
        <f t="shared" si="6"/>
        <v>0.17853009259124519</v>
      </c>
      <c r="R65" s="19" t="b">
        <v>1</v>
      </c>
      <c r="S65" s="19" t="b">
        <v>1</v>
      </c>
      <c r="V65" s="157"/>
      <c r="W65" s="157"/>
      <c r="X65" s="157"/>
    </row>
    <row r="66" spans="1:24">
      <c r="A66" s="17">
        <v>41725.561782407407</v>
      </c>
      <c r="B66" s="18">
        <v>41725.561782407407</v>
      </c>
      <c r="C66" s="17">
        <v>41725.752939814818</v>
      </c>
      <c r="D66" s="18">
        <v>41725.752939814818</v>
      </c>
      <c r="E66" s="19">
        <v>16</v>
      </c>
      <c r="F66" s="57" t="s">
        <v>303</v>
      </c>
      <c r="G66" s="19" t="str">
        <f t="shared" si="0"/>
        <v>61742</v>
      </c>
      <c r="H66" s="19" t="s">
        <v>293</v>
      </c>
      <c r="I66" s="19" t="s">
        <v>187</v>
      </c>
      <c r="J66" s="19" t="s">
        <v>206</v>
      </c>
      <c r="K66" s="19" t="s">
        <v>226</v>
      </c>
      <c r="L66" s="19">
        <v>2611</v>
      </c>
      <c r="M66" s="19" t="str">
        <f t="shared" si="5"/>
        <v>Radio 61742_UnitID_2611</v>
      </c>
      <c r="N66" s="55" t="s">
        <v>304</v>
      </c>
      <c r="O66" s="55" t="s">
        <v>335</v>
      </c>
      <c r="P66" s="19" t="s">
        <v>241</v>
      </c>
      <c r="Q66" s="101">
        <f t="shared" si="6"/>
        <v>0.19115740741108311</v>
      </c>
      <c r="R66" s="19" t="b">
        <v>1</v>
      </c>
      <c r="S66" s="19" t="b">
        <v>1</v>
      </c>
    </row>
    <row r="67" spans="1:24">
      <c r="A67" s="17">
        <v>41725.563900462963</v>
      </c>
      <c r="B67" s="18">
        <v>41725.563900462963</v>
      </c>
      <c r="C67" s="17">
        <v>41725.769409722219</v>
      </c>
      <c r="D67" s="18">
        <v>41725.769409722219</v>
      </c>
      <c r="E67" s="19">
        <v>16</v>
      </c>
      <c r="F67" s="57" t="s">
        <v>338</v>
      </c>
      <c r="G67" s="19" t="str">
        <f t="shared" ref="G67:G130" si="7">RIGHT(F67,5)</f>
        <v>74047</v>
      </c>
      <c r="H67" s="19" t="s">
        <v>196</v>
      </c>
      <c r="I67" s="19" t="s">
        <v>187</v>
      </c>
      <c r="J67" s="19" t="s">
        <v>206</v>
      </c>
      <c r="K67" s="19" t="s">
        <v>226</v>
      </c>
      <c r="L67" s="19">
        <v>2621</v>
      </c>
      <c r="M67" s="19" t="str">
        <f t="shared" si="5"/>
        <v>Radio 74047_UnitID_2621</v>
      </c>
      <c r="N67" s="55" t="s">
        <v>304</v>
      </c>
      <c r="O67" s="55" t="s">
        <v>337</v>
      </c>
      <c r="P67" s="19" t="s">
        <v>279</v>
      </c>
      <c r="Q67" s="101">
        <f t="shared" si="6"/>
        <v>0.20550925925635966</v>
      </c>
      <c r="R67" s="19" t="b">
        <v>1</v>
      </c>
      <c r="S67" s="19" t="b">
        <v>1</v>
      </c>
    </row>
    <row r="68" spans="1:24">
      <c r="A68" s="17">
        <v>41725.580150462964</v>
      </c>
      <c r="B68" s="18">
        <v>41725.580150462964</v>
      </c>
      <c r="C68" s="17">
        <v>41725.779351851852</v>
      </c>
      <c r="D68" s="18">
        <v>41725.779351851852</v>
      </c>
      <c r="E68" s="19">
        <v>18</v>
      </c>
      <c r="F68" s="57" t="s">
        <v>336</v>
      </c>
      <c r="G68" s="19" t="str">
        <f t="shared" si="7"/>
        <v>73781</v>
      </c>
      <c r="H68" s="19" t="s">
        <v>196</v>
      </c>
      <c r="I68" s="19" t="s">
        <v>187</v>
      </c>
      <c r="J68" s="19" t="s">
        <v>206</v>
      </c>
      <c r="K68" s="19" t="s">
        <v>226</v>
      </c>
      <c r="L68" s="19">
        <v>2341</v>
      </c>
      <c r="M68" s="19" t="str">
        <f t="shared" si="5"/>
        <v>Radio 73781_UnitID_2341</v>
      </c>
      <c r="N68" s="55" t="s">
        <v>305</v>
      </c>
      <c r="O68" s="55"/>
      <c r="P68" s="19" t="s">
        <v>241</v>
      </c>
      <c r="Q68" s="101">
        <f t="shared" si="6"/>
        <v>0.1992013888884685</v>
      </c>
      <c r="R68" s="19" t="b">
        <v>1</v>
      </c>
      <c r="S68" s="19" t="b">
        <v>1</v>
      </c>
    </row>
    <row r="69" spans="1:24">
      <c r="A69" s="17">
        <v>41725.580150462964</v>
      </c>
      <c r="B69" s="18">
        <v>41725.580150462964</v>
      </c>
      <c r="C69" s="17">
        <v>41725.7731712963</v>
      </c>
      <c r="D69" s="18">
        <v>41725.7731712963</v>
      </c>
      <c r="E69" s="19">
        <v>18</v>
      </c>
      <c r="F69" s="57" t="s">
        <v>306</v>
      </c>
      <c r="G69" s="19" t="str">
        <f t="shared" si="7"/>
        <v>12246</v>
      </c>
      <c r="H69" s="19" t="s">
        <v>307</v>
      </c>
      <c r="I69" s="19" t="s">
        <v>245</v>
      </c>
      <c r="J69" s="19" t="s">
        <v>190</v>
      </c>
      <c r="K69" s="19" t="s">
        <v>191</v>
      </c>
      <c r="L69" s="19">
        <v>2331</v>
      </c>
      <c r="M69" s="19" t="str">
        <f t="shared" si="5"/>
        <v>Radio 12246_UnitID_2331</v>
      </c>
      <c r="N69" s="55" t="s">
        <v>305</v>
      </c>
      <c r="O69" s="55"/>
      <c r="P69" s="19" t="s">
        <v>279</v>
      </c>
      <c r="Q69" s="101">
        <f t="shared" si="6"/>
        <v>0.19302083333604969</v>
      </c>
      <c r="R69" s="19" t="b">
        <v>1</v>
      </c>
      <c r="S69" s="19" t="b">
        <v>1</v>
      </c>
    </row>
    <row r="70" spans="1:24">
      <c r="A70" s="17">
        <v>41725.580150462964</v>
      </c>
      <c r="B70" s="18">
        <v>41725.580150462964</v>
      </c>
      <c r="C70" s="17">
        <v>41725.779490740744</v>
      </c>
      <c r="D70" s="18">
        <v>41725.779490740744</v>
      </c>
      <c r="E70" s="19">
        <v>18</v>
      </c>
      <c r="F70" s="57" t="s">
        <v>308</v>
      </c>
      <c r="G70" s="19" t="str">
        <f t="shared" si="7"/>
        <v>14165</v>
      </c>
      <c r="H70" s="19" t="s">
        <v>307</v>
      </c>
      <c r="I70" s="19" t="s">
        <v>189</v>
      </c>
      <c r="J70" s="19" t="s">
        <v>190</v>
      </c>
      <c r="K70" s="19" t="s">
        <v>191</v>
      </c>
      <c r="L70" s="19">
        <v>2311</v>
      </c>
      <c r="M70" s="19" t="str">
        <f t="shared" si="5"/>
        <v>Radio 14165_UnitID_2311</v>
      </c>
      <c r="N70" s="55" t="s">
        <v>305</v>
      </c>
      <c r="O70" s="55"/>
      <c r="P70" s="19" t="s">
        <v>279</v>
      </c>
      <c r="Q70" s="101">
        <f t="shared" si="6"/>
        <v>0.1993402777807205</v>
      </c>
      <c r="R70" s="19" t="b">
        <v>1</v>
      </c>
      <c r="S70" s="19" t="b">
        <v>1</v>
      </c>
    </row>
    <row r="71" spans="1:24">
      <c r="A71" s="17">
        <v>41725.580150462964</v>
      </c>
      <c r="B71" s="18">
        <v>41725.580150462964</v>
      </c>
      <c r="C71" s="17">
        <v>41725.774583333332</v>
      </c>
      <c r="D71" s="18">
        <v>41725.774583333332</v>
      </c>
      <c r="E71" s="19">
        <v>18</v>
      </c>
      <c r="F71" s="57" t="s">
        <v>309</v>
      </c>
      <c r="G71" s="19" t="str">
        <f t="shared" si="7"/>
        <v>13901</v>
      </c>
      <c r="H71" s="19" t="s">
        <v>307</v>
      </c>
      <c r="I71" s="19" t="s">
        <v>189</v>
      </c>
      <c r="J71" s="19" t="s">
        <v>190</v>
      </c>
      <c r="K71" s="19" t="s">
        <v>191</v>
      </c>
      <c r="L71" s="19">
        <v>2321</v>
      </c>
      <c r="M71" s="19" t="str">
        <f t="shared" si="5"/>
        <v>Radio 13901_UnitID_2321</v>
      </c>
      <c r="N71" s="55" t="s">
        <v>305</v>
      </c>
      <c r="O71" s="55"/>
      <c r="P71" s="19" t="s">
        <v>279</v>
      </c>
      <c r="Q71" s="101">
        <f t="shared" si="6"/>
        <v>0.19443287036847323</v>
      </c>
      <c r="R71" s="19" t="b">
        <v>1</v>
      </c>
      <c r="S71" s="19" t="b">
        <v>1</v>
      </c>
    </row>
    <row r="72" spans="1:24">
      <c r="A72" s="17">
        <v>41725.634872685187</v>
      </c>
      <c r="B72" s="18">
        <v>41725.634872685187</v>
      </c>
      <c r="C72" s="17">
        <v>41726.376655092594</v>
      </c>
      <c r="D72" s="18">
        <v>41726.376655092594</v>
      </c>
      <c r="E72" s="19">
        <v>19</v>
      </c>
      <c r="F72" s="57" t="s">
        <v>310</v>
      </c>
      <c r="G72" s="19" t="str">
        <f t="shared" si="7"/>
        <v>13657</v>
      </c>
      <c r="H72" s="19" t="s">
        <v>188</v>
      </c>
      <c r="I72" s="19" t="s">
        <v>245</v>
      </c>
      <c r="J72" s="19" t="s">
        <v>190</v>
      </c>
      <c r="K72" s="19" t="s">
        <v>191</v>
      </c>
      <c r="L72" s="19">
        <v>2171</v>
      </c>
      <c r="M72" s="19" t="str">
        <f t="shared" si="5"/>
        <v>Radio 13657_UnitID_2171</v>
      </c>
      <c r="N72" s="55" t="s">
        <v>311</v>
      </c>
      <c r="O72" s="55"/>
      <c r="P72" s="19" t="s">
        <v>241</v>
      </c>
      <c r="Q72" s="101">
        <f t="shared" si="6"/>
        <v>0.74178240740729962</v>
      </c>
      <c r="R72" s="19" t="b">
        <v>1</v>
      </c>
      <c r="S72" s="19" t="b">
        <v>1</v>
      </c>
    </row>
    <row r="73" spans="1:24" ht="30">
      <c r="A73" s="17">
        <v>41725.634872685187</v>
      </c>
      <c r="B73" s="18">
        <v>41725.634872685187</v>
      </c>
      <c r="C73" s="17">
        <v>41726.474814814814</v>
      </c>
      <c r="D73" s="18">
        <v>41726.474814814814</v>
      </c>
      <c r="E73" s="19">
        <v>19</v>
      </c>
      <c r="F73" s="57" t="s">
        <v>312</v>
      </c>
      <c r="G73" s="19" t="str">
        <f t="shared" si="7"/>
        <v>15527</v>
      </c>
      <c r="H73" s="19" t="s">
        <v>188</v>
      </c>
      <c r="I73" s="19" t="s">
        <v>189</v>
      </c>
      <c r="J73" s="19" t="s">
        <v>190</v>
      </c>
      <c r="K73" s="19" t="s">
        <v>191</v>
      </c>
      <c r="L73" s="19">
        <v>2121</v>
      </c>
      <c r="M73" s="19" t="str">
        <f t="shared" si="5"/>
        <v>Radio 15527_UnitID_2121</v>
      </c>
      <c r="N73" s="55" t="s">
        <v>311</v>
      </c>
      <c r="O73" s="55" t="s">
        <v>377</v>
      </c>
      <c r="P73" s="19" t="s">
        <v>241</v>
      </c>
      <c r="Q73" s="101">
        <f t="shared" si="6"/>
        <v>0.83994212962716119</v>
      </c>
      <c r="R73" s="19" t="b">
        <v>1</v>
      </c>
      <c r="S73" s="19" t="b">
        <v>1</v>
      </c>
    </row>
    <row r="74" spans="1:24" ht="30">
      <c r="A74" s="17">
        <v>41725.634872685187</v>
      </c>
      <c r="B74" s="18">
        <v>41725.634872685187</v>
      </c>
      <c r="C74" s="17">
        <v>41726.347361111111</v>
      </c>
      <c r="D74" s="18">
        <v>41726.347361111111</v>
      </c>
      <c r="E74" s="19">
        <v>19</v>
      </c>
      <c r="F74" s="57" t="s">
        <v>313</v>
      </c>
      <c r="G74" s="19" t="str">
        <f t="shared" si="7"/>
        <v>14473</v>
      </c>
      <c r="H74" s="19" t="s">
        <v>188</v>
      </c>
      <c r="I74" s="19" t="s">
        <v>189</v>
      </c>
      <c r="J74" s="19" t="s">
        <v>190</v>
      </c>
      <c r="K74" s="19" t="s">
        <v>191</v>
      </c>
      <c r="L74" s="19">
        <v>2141</v>
      </c>
      <c r="M74" s="19" t="str">
        <f t="shared" si="5"/>
        <v>Radio 14473_UnitID_2141</v>
      </c>
      <c r="N74" s="55" t="s">
        <v>311</v>
      </c>
      <c r="O74" s="55" t="s">
        <v>342</v>
      </c>
      <c r="P74" s="19" t="s">
        <v>279</v>
      </c>
      <c r="Q74" s="101">
        <f t="shared" si="6"/>
        <v>0.71248842592467554</v>
      </c>
      <c r="R74" s="19" t="b">
        <v>1</v>
      </c>
      <c r="S74" s="19" t="b">
        <v>1</v>
      </c>
    </row>
    <row r="75" spans="1:24" ht="45">
      <c r="A75" s="17">
        <v>41725.634872685187</v>
      </c>
      <c r="B75" s="18">
        <v>41725.634872685187</v>
      </c>
      <c r="C75" s="17">
        <v>41726.364444444444</v>
      </c>
      <c r="D75" s="18">
        <v>41726.364444444444</v>
      </c>
      <c r="E75" s="19">
        <v>19</v>
      </c>
      <c r="F75" s="57" t="s">
        <v>314</v>
      </c>
      <c r="G75" s="19" t="str">
        <f t="shared" si="7"/>
        <v>15157</v>
      </c>
      <c r="H75" s="19" t="s">
        <v>188</v>
      </c>
      <c r="I75" s="19" t="s">
        <v>189</v>
      </c>
      <c r="J75" s="19" t="s">
        <v>190</v>
      </c>
      <c r="K75" s="19" t="s">
        <v>191</v>
      </c>
      <c r="L75" s="19">
        <v>2111</v>
      </c>
      <c r="M75" s="19" t="str">
        <f t="shared" si="5"/>
        <v>Radio 15157_UnitID_2111</v>
      </c>
      <c r="N75" s="55" t="s">
        <v>311</v>
      </c>
      <c r="O75" s="55" t="s">
        <v>510</v>
      </c>
      <c r="P75" s="19" t="s">
        <v>241</v>
      </c>
      <c r="Q75" s="101">
        <f t="shared" si="6"/>
        <v>0.72957175925694173</v>
      </c>
      <c r="R75" s="19" t="b">
        <v>1</v>
      </c>
      <c r="S75" s="19" t="b">
        <v>1</v>
      </c>
      <c r="V75" s="19" t="s">
        <v>511</v>
      </c>
    </row>
    <row r="76" spans="1:24" ht="30">
      <c r="A76" s="17">
        <v>41725.634872685187</v>
      </c>
      <c r="B76" s="18">
        <v>41725.634872685187</v>
      </c>
      <c r="C76" s="17">
        <v>41726.37604166667</v>
      </c>
      <c r="D76" s="18">
        <v>41726.37604166667</v>
      </c>
      <c r="E76" s="19">
        <v>19</v>
      </c>
      <c r="F76" s="57" t="s">
        <v>315</v>
      </c>
      <c r="G76" s="19" t="str">
        <f t="shared" si="7"/>
        <v>74467</v>
      </c>
      <c r="H76" s="19" t="s">
        <v>196</v>
      </c>
      <c r="I76" s="19" t="s">
        <v>187</v>
      </c>
      <c r="J76" s="19" t="s">
        <v>206</v>
      </c>
      <c r="K76" s="19" t="s">
        <v>226</v>
      </c>
      <c r="L76" s="19">
        <v>2161</v>
      </c>
      <c r="M76" s="19" t="str">
        <f t="shared" si="5"/>
        <v>Radio 74467_UnitID_2161</v>
      </c>
      <c r="N76" s="55" t="s">
        <v>311</v>
      </c>
      <c r="O76" s="55" t="s">
        <v>316</v>
      </c>
      <c r="P76" s="19" t="s">
        <v>241</v>
      </c>
      <c r="Q76" s="101">
        <f t="shared" si="6"/>
        <v>0.74116898148349719</v>
      </c>
      <c r="R76" s="19" t="b">
        <v>1</v>
      </c>
      <c r="S76" s="19" t="b">
        <v>1</v>
      </c>
    </row>
    <row r="77" spans="1:24">
      <c r="A77" s="17">
        <v>41725.634872685187</v>
      </c>
      <c r="B77" s="18">
        <v>41725.634872685187</v>
      </c>
      <c r="C77" s="17">
        <v>41726.487870370373</v>
      </c>
      <c r="D77" s="18">
        <v>41726.487870370373</v>
      </c>
      <c r="E77" s="19">
        <v>20</v>
      </c>
      <c r="F77" s="57" t="s">
        <v>317</v>
      </c>
      <c r="G77" s="19" t="str">
        <f t="shared" si="7"/>
        <v>15436</v>
      </c>
      <c r="H77" s="19" t="s">
        <v>188</v>
      </c>
      <c r="I77" s="19" t="s">
        <v>189</v>
      </c>
      <c r="J77" s="19" t="s">
        <v>190</v>
      </c>
      <c r="K77" s="19" t="s">
        <v>191</v>
      </c>
      <c r="L77" s="19">
        <v>2221</v>
      </c>
      <c r="M77" s="19" t="str">
        <f t="shared" si="5"/>
        <v>Radio 15436_UnitID_2221</v>
      </c>
      <c r="N77" s="55" t="s">
        <v>318</v>
      </c>
      <c r="O77" s="55" t="s">
        <v>148</v>
      </c>
      <c r="P77" s="19" t="s">
        <v>221</v>
      </c>
      <c r="Q77" s="101">
        <f t="shared" si="6"/>
        <v>0.85299768518598285</v>
      </c>
      <c r="R77" s="19" t="b">
        <v>1</v>
      </c>
      <c r="S77" s="19" t="b">
        <v>1</v>
      </c>
    </row>
    <row r="78" spans="1:24">
      <c r="A78" s="17">
        <v>41725.634872685187</v>
      </c>
      <c r="B78" s="18">
        <v>41725.634872685187</v>
      </c>
      <c r="C78" s="17">
        <v>41726.376967592594</v>
      </c>
      <c r="D78" s="18">
        <v>41726.376967592594</v>
      </c>
      <c r="E78" s="19">
        <v>20</v>
      </c>
      <c r="F78" s="57" t="s">
        <v>319</v>
      </c>
      <c r="G78" s="19" t="str">
        <f t="shared" si="7"/>
        <v>15465</v>
      </c>
      <c r="H78" s="19" t="s">
        <v>188</v>
      </c>
      <c r="I78" s="19" t="s">
        <v>189</v>
      </c>
      <c r="J78" s="19" t="s">
        <v>190</v>
      </c>
      <c r="K78" s="19" t="s">
        <v>191</v>
      </c>
      <c r="L78" s="19">
        <v>2231</v>
      </c>
      <c r="M78" s="19" t="str">
        <f t="shared" si="5"/>
        <v>Radio 15465_UnitID_2231</v>
      </c>
      <c r="N78" s="55" t="s">
        <v>318</v>
      </c>
      <c r="O78" s="55"/>
      <c r="P78" s="19" t="s">
        <v>241</v>
      </c>
      <c r="Q78" s="101">
        <f t="shared" si="6"/>
        <v>0.74209490740759065</v>
      </c>
      <c r="R78" s="19" t="b">
        <v>1</v>
      </c>
      <c r="S78" s="19" t="b">
        <v>1</v>
      </c>
    </row>
    <row r="79" spans="1:24">
      <c r="A79" s="17">
        <v>41725.634872685187</v>
      </c>
      <c r="B79" s="18">
        <v>41725.634872685187</v>
      </c>
      <c r="C79" s="17">
        <v>41726.377222222225</v>
      </c>
      <c r="D79" s="18">
        <v>41726.377222222225</v>
      </c>
      <c r="E79" s="19">
        <v>20</v>
      </c>
      <c r="F79" s="57" t="s">
        <v>320</v>
      </c>
      <c r="G79" s="19" t="str">
        <f t="shared" si="7"/>
        <v>13272</v>
      </c>
      <c r="H79" s="19" t="s">
        <v>188</v>
      </c>
      <c r="I79" s="19" t="s">
        <v>245</v>
      </c>
      <c r="J79" s="19" t="s">
        <v>190</v>
      </c>
      <c r="K79" s="19" t="s">
        <v>191</v>
      </c>
      <c r="L79" s="19">
        <v>2251</v>
      </c>
      <c r="M79" s="19" t="str">
        <f t="shared" si="5"/>
        <v>Radio 13272_UnitID_2251</v>
      </c>
      <c r="N79" s="55" t="s">
        <v>318</v>
      </c>
      <c r="O79" s="55"/>
      <c r="P79" s="19" t="s">
        <v>321</v>
      </c>
      <c r="Q79" s="101">
        <f t="shared" si="6"/>
        <v>0.74234953703853535</v>
      </c>
      <c r="R79" s="19" t="b">
        <v>1</v>
      </c>
      <c r="S79" s="19" t="b">
        <v>1</v>
      </c>
    </row>
    <row r="80" spans="1:24">
      <c r="A80" s="17">
        <v>41725.634872685187</v>
      </c>
      <c r="B80" s="18">
        <v>41725.634872685187</v>
      </c>
      <c r="C80" s="17">
        <v>41726.468912037039</v>
      </c>
      <c r="D80" s="18">
        <v>41726.468912037039</v>
      </c>
      <c r="E80" s="19">
        <v>20</v>
      </c>
      <c r="F80" s="57" t="s">
        <v>322</v>
      </c>
      <c r="G80" s="19" t="str">
        <f t="shared" si="7"/>
        <v>62708</v>
      </c>
      <c r="H80" s="19" t="s">
        <v>323</v>
      </c>
      <c r="I80" s="19" t="s">
        <v>187</v>
      </c>
      <c r="J80" s="19" t="s">
        <v>206</v>
      </c>
      <c r="K80" s="19" t="s">
        <v>226</v>
      </c>
      <c r="L80" s="19">
        <v>2241</v>
      </c>
      <c r="M80" s="19" t="str">
        <f t="shared" si="5"/>
        <v>Radio 62708_UnitID_2241</v>
      </c>
      <c r="N80" s="55" t="s">
        <v>318</v>
      </c>
      <c r="O80" s="108" t="s">
        <v>512</v>
      </c>
      <c r="P80" s="19" t="s">
        <v>221</v>
      </c>
      <c r="Q80" s="101">
        <f t="shared" si="6"/>
        <v>0.83403935185197042</v>
      </c>
      <c r="R80" s="19" t="b">
        <v>1</v>
      </c>
      <c r="S80" s="19" t="b">
        <v>1</v>
      </c>
      <c r="V80" s="19" t="s">
        <v>513</v>
      </c>
    </row>
    <row r="81" spans="1:22">
      <c r="A81" s="17">
        <v>41725.67765046296</v>
      </c>
      <c r="B81" s="18">
        <v>41725.67765046296</v>
      </c>
      <c r="C81" s="17">
        <v>41726.3746875</v>
      </c>
      <c r="D81" s="18">
        <v>41726.3746875</v>
      </c>
      <c r="E81" s="19">
        <v>20</v>
      </c>
      <c r="F81" s="57" t="s">
        <v>324</v>
      </c>
      <c r="G81" s="19" t="str">
        <f t="shared" si="7"/>
        <v>61924</v>
      </c>
      <c r="H81" s="19" t="s">
        <v>293</v>
      </c>
      <c r="I81" s="19" t="s">
        <v>187</v>
      </c>
      <c r="J81" s="19" t="s">
        <v>206</v>
      </c>
      <c r="K81" s="19" t="s">
        <v>226</v>
      </c>
      <c r="L81" s="19">
        <v>2211</v>
      </c>
      <c r="M81" s="19" t="str">
        <f t="shared" si="5"/>
        <v>Radio 61924_UnitID_2211</v>
      </c>
      <c r="N81" s="55" t="s">
        <v>318</v>
      </c>
      <c r="O81" s="55"/>
      <c r="P81" s="19" t="s">
        <v>221</v>
      </c>
      <c r="Q81" s="101">
        <f t="shared" si="6"/>
        <v>0.69703703703999054</v>
      </c>
      <c r="R81" s="19" t="b">
        <v>1</v>
      </c>
      <c r="S81" s="19" t="b">
        <v>1</v>
      </c>
    </row>
    <row r="82" spans="1:22">
      <c r="A82" s="17">
        <v>41725.67765046296</v>
      </c>
      <c r="B82" s="18">
        <v>41725.67765046296</v>
      </c>
      <c r="C82" s="17">
        <v>41726.468206018515</v>
      </c>
      <c r="D82" s="18">
        <v>41726.468206018515</v>
      </c>
      <c r="E82" s="19">
        <v>21</v>
      </c>
      <c r="F82" s="57" t="s">
        <v>325</v>
      </c>
      <c r="G82" s="19" t="str">
        <f t="shared" si="7"/>
        <v>73787</v>
      </c>
      <c r="H82" s="19" t="s">
        <v>196</v>
      </c>
      <c r="I82" s="19" t="s">
        <v>187</v>
      </c>
      <c r="J82" s="19" t="s">
        <v>206</v>
      </c>
      <c r="K82" s="19" t="s">
        <v>226</v>
      </c>
      <c r="L82" s="19">
        <v>2412</v>
      </c>
      <c r="M82" s="19" t="str">
        <f t="shared" si="5"/>
        <v>Radio 73787_UnitID_2412</v>
      </c>
      <c r="N82" s="55" t="s">
        <v>326</v>
      </c>
      <c r="O82" s="55" t="s">
        <v>514</v>
      </c>
      <c r="P82" s="19" t="s">
        <v>193</v>
      </c>
      <c r="Q82" s="101">
        <f t="shared" si="6"/>
        <v>0.79055555555532919</v>
      </c>
      <c r="R82" s="19" t="b">
        <v>1</v>
      </c>
      <c r="S82" s="19" t="b">
        <v>1</v>
      </c>
    </row>
    <row r="83" spans="1:22">
      <c r="A83" s="17">
        <v>41725.67765046296</v>
      </c>
      <c r="B83" s="18">
        <v>41725.67765046296</v>
      </c>
      <c r="C83" s="17">
        <v>41726.374861111108</v>
      </c>
      <c r="D83" s="18">
        <v>41726.374861111108</v>
      </c>
      <c r="E83" s="19">
        <v>21</v>
      </c>
      <c r="F83" s="57" t="s">
        <v>327</v>
      </c>
      <c r="G83" s="19" t="str">
        <f t="shared" si="7"/>
        <v>15135</v>
      </c>
      <c r="H83" s="19" t="s">
        <v>188</v>
      </c>
      <c r="I83" s="19" t="s">
        <v>189</v>
      </c>
      <c r="J83" s="19" t="s">
        <v>190</v>
      </c>
      <c r="K83" s="19" t="s">
        <v>191</v>
      </c>
      <c r="L83" s="19">
        <v>2431</v>
      </c>
      <c r="M83" s="19" t="str">
        <f t="shared" si="5"/>
        <v>Radio 15135_UnitID_2431</v>
      </c>
      <c r="N83" s="55" t="s">
        <v>326</v>
      </c>
      <c r="O83" s="55"/>
      <c r="P83" s="19" t="s">
        <v>279</v>
      </c>
      <c r="Q83" s="101">
        <f t="shared" si="6"/>
        <v>0.69721064814802958</v>
      </c>
      <c r="R83" s="19" t="b">
        <v>1</v>
      </c>
      <c r="S83" s="19" t="b">
        <v>1</v>
      </c>
    </row>
    <row r="84" spans="1:22" ht="30">
      <c r="A84" s="17">
        <v>41725.67765046296</v>
      </c>
      <c r="B84" s="18">
        <v>41725.67765046296</v>
      </c>
      <c r="C84" s="17">
        <v>41726.488993055558</v>
      </c>
      <c r="D84" s="18">
        <v>41726.488993055558</v>
      </c>
      <c r="E84" s="19">
        <v>21</v>
      </c>
      <c r="F84" s="57" t="s">
        <v>328</v>
      </c>
      <c r="G84" s="19" t="str">
        <f t="shared" si="7"/>
        <v>14467</v>
      </c>
      <c r="H84" s="19" t="s">
        <v>188</v>
      </c>
      <c r="I84" s="19" t="s">
        <v>189</v>
      </c>
      <c r="J84" s="19" t="s">
        <v>190</v>
      </c>
      <c r="K84" s="19" t="s">
        <v>191</v>
      </c>
      <c r="L84" s="19">
        <v>2421</v>
      </c>
      <c r="M84" s="19" t="str">
        <f t="shared" si="5"/>
        <v>Radio 14467_UnitID_2421</v>
      </c>
      <c r="N84" s="55" t="s">
        <v>326</v>
      </c>
      <c r="O84" s="55" t="s">
        <v>342</v>
      </c>
      <c r="P84" s="19" t="s">
        <v>241</v>
      </c>
      <c r="Q84" s="101">
        <f t="shared" si="6"/>
        <v>0.81134259259852115</v>
      </c>
      <c r="R84" s="19" t="b">
        <v>1</v>
      </c>
      <c r="S84" s="19" t="b">
        <v>1</v>
      </c>
    </row>
    <row r="85" spans="1:22">
      <c r="A85" s="17">
        <v>41725.67765046296</v>
      </c>
      <c r="B85" s="18">
        <v>41725.67765046296</v>
      </c>
      <c r="C85" s="17">
        <v>41726.378009259257</v>
      </c>
      <c r="D85" s="18">
        <v>41726.378009259257</v>
      </c>
      <c r="E85" s="19">
        <v>21</v>
      </c>
      <c r="F85" s="57" t="s">
        <v>329</v>
      </c>
      <c r="G85" s="19" t="str">
        <f t="shared" si="7"/>
        <v>13583</v>
      </c>
      <c r="H85" s="19" t="s">
        <v>188</v>
      </c>
      <c r="I85" s="19" t="s">
        <v>245</v>
      </c>
      <c r="J85" s="19" t="s">
        <v>190</v>
      </c>
      <c r="K85" s="19" t="s">
        <v>191</v>
      </c>
      <c r="L85" s="19">
        <v>2441</v>
      </c>
      <c r="M85" s="19" t="str">
        <f t="shared" si="5"/>
        <v>Radio 13583_UnitID_2441</v>
      </c>
      <c r="N85" s="55" t="s">
        <v>326</v>
      </c>
      <c r="O85" s="55"/>
      <c r="P85" s="19" t="s">
        <v>330</v>
      </c>
      <c r="Q85" s="101">
        <f t="shared" si="6"/>
        <v>0.70035879629722331</v>
      </c>
      <c r="R85" s="19" t="b">
        <v>1</v>
      </c>
      <c r="S85" s="19" t="b">
        <v>1</v>
      </c>
    </row>
    <row r="86" spans="1:22">
      <c r="A86" s="17">
        <v>41725.67765046296</v>
      </c>
      <c r="B86" s="18">
        <v>41725.67765046296</v>
      </c>
      <c r="C86" s="17">
        <v>41726.375474537039</v>
      </c>
      <c r="D86" s="18">
        <v>41726.375474537039</v>
      </c>
      <c r="E86" s="19">
        <v>21</v>
      </c>
      <c r="F86" s="57" t="s">
        <v>331</v>
      </c>
      <c r="G86" s="19" t="str">
        <f t="shared" si="7"/>
        <v>14177</v>
      </c>
      <c r="H86" s="19" t="s">
        <v>188</v>
      </c>
      <c r="I86" s="19" t="s">
        <v>189</v>
      </c>
      <c r="J86" s="19" t="s">
        <v>190</v>
      </c>
      <c r="K86" s="19" t="s">
        <v>191</v>
      </c>
      <c r="L86" s="19">
        <v>2411</v>
      </c>
      <c r="M86" s="19" t="str">
        <f t="shared" si="5"/>
        <v>Radio 14177_UnitID_2411</v>
      </c>
      <c r="N86" s="55" t="s">
        <v>326</v>
      </c>
      <c r="O86" s="55"/>
      <c r="P86" s="19" t="s">
        <v>332</v>
      </c>
      <c r="Q86" s="101">
        <f t="shared" si="6"/>
        <v>0.69782407407910796</v>
      </c>
      <c r="R86" s="19" t="b">
        <v>1</v>
      </c>
      <c r="S86" s="19" t="b">
        <v>1</v>
      </c>
      <c r="V86" s="55" t="s">
        <v>343</v>
      </c>
    </row>
    <row r="87" spans="1:22" ht="30">
      <c r="A87" s="17">
        <v>41726.339189814818</v>
      </c>
      <c r="B87" s="18">
        <v>41726.339189814818</v>
      </c>
      <c r="C87" s="17">
        <v>41726.341041666667</v>
      </c>
      <c r="D87" s="18">
        <v>41726.341041666667</v>
      </c>
      <c r="F87" s="57" t="s">
        <v>339</v>
      </c>
      <c r="G87" s="19" t="str">
        <f t="shared" si="7"/>
        <v>17905</v>
      </c>
      <c r="H87" s="19" t="s">
        <v>244</v>
      </c>
      <c r="I87" s="19" t="s">
        <v>245</v>
      </c>
      <c r="J87" s="19" t="s">
        <v>190</v>
      </c>
      <c r="K87" s="19" t="s">
        <v>191</v>
      </c>
      <c r="L87" s="19">
        <v>2131</v>
      </c>
      <c r="M87" s="19" t="str">
        <f t="shared" si="5"/>
        <v>Radio 17905_UnitID_2131</v>
      </c>
      <c r="N87" s="55" t="s">
        <v>311</v>
      </c>
      <c r="O87" s="55" t="s">
        <v>341</v>
      </c>
      <c r="P87" s="19" t="s">
        <v>340</v>
      </c>
      <c r="Q87" s="101">
        <f t="shared" si="6"/>
        <v>1.8518518481869251E-3</v>
      </c>
      <c r="R87" s="19" t="b">
        <v>1</v>
      </c>
      <c r="S87" s="19" t="b">
        <v>1</v>
      </c>
    </row>
    <row r="88" spans="1:22">
      <c r="A88" s="17">
        <v>41726.385868055557</v>
      </c>
      <c r="B88" s="18">
        <v>41726.385868055557</v>
      </c>
      <c r="C88" s="17">
        <v>41726.489618055559</v>
      </c>
      <c r="D88" s="18">
        <v>41726.489618055559</v>
      </c>
      <c r="E88" s="19">
        <v>22</v>
      </c>
      <c r="F88" s="57" t="s">
        <v>344</v>
      </c>
      <c r="G88" s="19" t="str">
        <f t="shared" si="7"/>
        <v>15647</v>
      </c>
      <c r="H88" s="19" t="s">
        <v>188</v>
      </c>
      <c r="I88" s="19" t="s">
        <v>189</v>
      </c>
      <c r="J88" s="19" t="s">
        <v>190</v>
      </c>
      <c r="K88" s="19" t="s">
        <v>191</v>
      </c>
      <c r="L88" s="19">
        <v>2511</v>
      </c>
      <c r="M88" s="19" t="str">
        <f t="shared" si="5"/>
        <v>Radio 15647_UnitID_2511</v>
      </c>
      <c r="N88" s="55" t="s">
        <v>345</v>
      </c>
      <c r="O88" s="55" t="s">
        <v>379</v>
      </c>
      <c r="P88" s="19" t="s">
        <v>241</v>
      </c>
      <c r="Q88" s="101">
        <f t="shared" si="6"/>
        <v>0.10375000000203727</v>
      </c>
      <c r="R88" s="19" t="b">
        <v>1</v>
      </c>
      <c r="S88" s="19" t="b">
        <v>1</v>
      </c>
    </row>
    <row r="89" spans="1:22" ht="30">
      <c r="A89" s="17">
        <v>41726.385868055557</v>
      </c>
      <c r="B89" s="18">
        <v>41726.385868055557</v>
      </c>
      <c r="C89" s="17">
        <v>41726.493171296293</v>
      </c>
      <c r="D89" s="18">
        <v>41726.493171296293</v>
      </c>
      <c r="E89" s="19">
        <v>22</v>
      </c>
      <c r="F89" s="57" t="s">
        <v>346</v>
      </c>
      <c r="G89" s="19" t="str">
        <f t="shared" si="7"/>
        <v>16793</v>
      </c>
      <c r="H89" s="19" t="s">
        <v>347</v>
      </c>
      <c r="I89" s="19" t="s">
        <v>189</v>
      </c>
      <c r="J89" s="19" t="s">
        <v>190</v>
      </c>
      <c r="K89" s="19" t="s">
        <v>191</v>
      </c>
      <c r="L89" s="19">
        <v>2531</v>
      </c>
      <c r="M89" s="19" t="str">
        <f t="shared" si="5"/>
        <v>Radio 16793_UnitID_2531</v>
      </c>
      <c r="N89" s="55" t="s">
        <v>345</v>
      </c>
      <c r="O89" s="55" t="s">
        <v>342</v>
      </c>
      <c r="P89" s="19" t="s">
        <v>241</v>
      </c>
      <c r="Q89" s="101">
        <f t="shared" si="6"/>
        <v>0.10730324073665543</v>
      </c>
      <c r="R89" s="19" t="b">
        <v>1</v>
      </c>
      <c r="S89" s="19" t="b">
        <v>1</v>
      </c>
    </row>
    <row r="90" spans="1:22">
      <c r="A90" s="17">
        <v>41726.385868055557</v>
      </c>
      <c r="B90" s="18">
        <v>41726.385868055557</v>
      </c>
      <c r="C90" s="17">
        <v>41726.536354166667</v>
      </c>
      <c r="D90" s="18">
        <v>41726.536354166667</v>
      </c>
      <c r="E90" s="19">
        <v>22</v>
      </c>
      <c r="F90" s="57" t="s">
        <v>348</v>
      </c>
      <c r="G90" s="19" t="str">
        <f t="shared" si="7"/>
        <v>15159</v>
      </c>
      <c r="H90" s="19" t="s">
        <v>188</v>
      </c>
      <c r="I90" s="19" t="s">
        <v>189</v>
      </c>
      <c r="J90" s="19" t="s">
        <v>190</v>
      </c>
      <c r="K90" s="19" t="s">
        <v>191</v>
      </c>
      <c r="L90" s="19">
        <v>2521</v>
      </c>
      <c r="M90" s="19" t="str">
        <f t="shared" si="5"/>
        <v>Radio 15159_UnitID_2521</v>
      </c>
      <c r="N90" s="55" t="s">
        <v>345</v>
      </c>
      <c r="O90" s="55"/>
      <c r="P90" s="19" t="s">
        <v>241</v>
      </c>
      <c r="Q90" s="101">
        <f t="shared" si="6"/>
        <v>0.15048611110978527</v>
      </c>
      <c r="R90" s="19" t="b">
        <v>1</v>
      </c>
      <c r="S90" s="19" t="b">
        <v>1</v>
      </c>
    </row>
    <row r="91" spans="1:22">
      <c r="A91" s="17">
        <v>41726.385868055557</v>
      </c>
      <c r="B91" s="18">
        <v>41726.385868055557</v>
      </c>
      <c r="C91" s="17">
        <v>41726.454351851855</v>
      </c>
      <c r="D91" s="18">
        <v>41726.454351851855</v>
      </c>
      <c r="E91" s="19">
        <v>22</v>
      </c>
      <c r="F91" s="57" t="s">
        <v>349</v>
      </c>
      <c r="G91" s="19" t="str">
        <f t="shared" si="7"/>
        <v>61744</v>
      </c>
      <c r="H91" s="19" t="s">
        <v>293</v>
      </c>
      <c r="I91" s="19" t="s">
        <v>187</v>
      </c>
      <c r="J91" s="19" t="s">
        <v>206</v>
      </c>
      <c r="K91" s="19" t="s">
        <v>226</v>
      </c>
      <c r="L91" s="19">
        <v>2541</v>
      </c>
      <c r="M91" s="19" t="str">
        <f t="shared" si="5"/>
        <v>Radio 61744_UnitID_2541</v>
      </c>
      <c r="N91" s="55" t="s">
        <v>345</v>
      </c>
      <c r="O91" s="108" t="s">
        <v>375</v>
      </c>
      <c r="P91" s="19" t="s">
        <v>241</v>
      </c>
      <c r="Q91" s="101">
        <f t="shared" si="6"/>
        <v>6.8483796298096422E-2</v>
      </c>
      <c r="R91" s="19" t="b">
        <v>1</v>
      </c>
      <c r="S91" s="19" t="b">
        <v>1</v>
      </c>
    </row>
    <row r="92" spans="1:22">
      <c r="A92" s="17">
        <v>41726.385868055557</v>
      </c>
      <c r="B92" s="18">
        <v>41726.385868055557</v>
      </c>
      <c r="C92" s="17">
        <v>41726.460636574076</v>
      </c>
      <c r="D92" s="18">
        <v>41726.460636574076</v>
      </c>
      <c r="E92" s="19">
        <v>22</v>
      </c>
      <c r="F92" s="57" t="s">
        <v>350</v>
      </c>
      <c r="G92" s="19" t="str">
        <f t="shared" si="7"/>
        <v>73803</v>
      </c>
      <c r="H92" s="19" t="s">
        <v>196</v>
      </c>
      <c r="I92" s="19" t="s">
        <v>187</v>
      </c>
      <c r="J92" s="19" t="s">
        <v>206</v>
      </c>
      <c r="K92" s="19" t="s">
        <v>226</v>
      </c>
      <c r="L92" s="19">
        <v>2551</v>
      </c>
      <c r="M92" s="19" t="str">
        <f t="shared" si="5"/>
        <v>Radio 73803_UnitID_2551</v>
      </c>
      <c r="N92" s="55" t="s">
        <v>345</v>
      </c>
      <c r="O92" s="55" t="s">
        <v>376</v>
      </c>
      <c r="P92" s="19" t="s">
        <v>241</v>
      </c>
      <c r="Q92" s="101">
        <f t="shared" si="6"/>
        <v>7.476851851970423E-2</v>
      </c>
      <c r="R92" s="19" t="b">
        <v>1</v>
      </c>
      <c r="S92" s="19" t="b">
        <v>1</v>
      </c>
    </row>
    <row r="93" spans="1:22">
      <c r="A93" s="17">
        <v>41726.385868055557</v>
      </c>
      <c r="B93" s="18">
        <v>41726.385868055557</v>
      </c>
      <c r="C93" s="17">
        <v>41726.493692129632</v>
      </c>
      <c r="D93" s="18">
        <v>41726.493692129632</v>
      </c>
      <c r="E93" s="19">
        <v>23</v>
      </c>
      <c r="F93" s="57" t="s">
        <v>351</v>
      </c>
      <c r="G93" s="19" t="str">
        <f t="shared" si="7"/>
        <v>15408</v>
      </c>
      <c r="H93" s="19" t="s">
        <v>188</v>
      </c>
      <c r="I93" s="19" t="s">
        <v>189</v>
      </c>
      <c r="J93" s="19" t="s">
        <v>190</v>
      </c>
      <c r="K93" s="19" t="s">
        <v>191</v>
      </c>
      <c r="L93" s="19">
        <v>1202</v>
      </c>
      <c r="M93" s="19" t="str">
        <f t="shared" si="5"/>
        <v>Radio 15408_UnitID_1202</v>
      </c>
      <c r="N93" s="55" t="s">
        <v>352</v>
      </c>
      <c r="O93" s="55"/>
      <c r="P93" s="19" t="s">
        <v>193</v>
      </c>
      <c r="Q93" s="101">
        <f t="shared" si="6"/>
        <v>0.10782407407532446</v>
      </c>
      <c r="R93" s="19" t="b">
        <v>1</v>
      </c>
      <c r="S93" s="19" t="b">
        <v>1</v>
      </c>
    </row>
    <row r="94" spans="1:22">
      <c r="A94" s="17">
        <v>41726.385868055557</v>
      </c>
      <c r="B94" s="18">
        <v>41726.385868055557</v>
      </c>
      <c r="C94" s="17">
        <v>41726.535601851851</v>
      </c>
      <c r="D94" s="18">
        <v>41726.535601851851</v>
      </c>
      <c r="E94" s="19">
        <v>23</v>
      </c>
      <c r="F94" s="57" t="s">
        <v>353</v>
      </c>
      <c r="G94" s="19" t="str">
        <f t="shared" si="7"/>
        <v>13630</v>
      </c>
      <c r="H94" s="19" t="s">
        <v>188</v>
      </c>
      <c r="I94" s="19" t="s">
        <v>189</v>
      </c>
      <c r="J94" s="19" t="s">
        <v>190</v>
      </c>
      <c r="K94" s="19" t="s">
        <v>191</v>
      </c>
      <c r="L94" s="19">
        <v>1231</v>
      </c>
      <c r="M94" s="19" t="str">
        <f t="shared" si="5"/>
        <v>Radio 13630_UnitID_1231</v>
      </c>
      <c r="N94" s="55" t="s">
        <v>352</v>
      </c>
      <c r="O94" s="55"/>
      <c r="P94" s="19" t="s">
        <v>193</v>
      </c>
      <c r="Q94" s="101">
        <f t="shared" si="6"/>
        <v>0.14973379629373085</v>
      </c>
      <c r="R94" s="19" t="b">
        <v>1</v>
      </c>
      <c r="S94" s="19" t="b">
        <v>1</v>
      </c>
    </row>
    <row r="95" spans="1:22">
      <c r="A95" s="17">
        <v>41726.385868055557</v>
      </c>
      <c r="B95" s="18">
        <v>41726.385868055557</v>
      </c>
      <c r="C95" s="17">
        <v>41726.53497685185</v>
      </c>
      <c r="D95" s="18">
        <v>41726.53497685185</v>
      </c>
      <c r="E95" s="19">
        <v>23</v>
      </c>
      <c r="F95" s="57" t="s">
        <v>354</v>
      </c>
      <c r="G95" s="19" t="str">
        <f t="shared" si="7"/>
        <v>15717</v>
      </c>
      <c r="H95" s="19" t="s">
        <v>188</v>
      </c>
      <c r="I95" s="19" t="s">
        <v>355</v>
      </c>
      <c r="J95" s="19" t="s">
        <v>190</v>
      </c>
      <c r="K95" s="19" t="s">
        <v>191</v>
      </c>
      <c r="L95" s="19">
        <v>1211</v>
      </c>
      <c r="M95" s="19" t="str">
        <f t="shared" si="5"/>
        <v>Radio 15717_UnitID_1211</v>
      </c>
      <c r="N95" s="55" t="s">
        <v>352</v>
      </c>
      <c r="O95" s="55"/>
      <c r="P95" s="19" t="s">
        <v>241</v>
      </c>
      <c r="Q95" s="101">
        <f t="shared" si="6"/>
        <v>0.14910879629314877</v>
      </c>
      <c r="R95" s="19" t="b">
        <v>1</v>
      </c>
      <c r="S95" s="19" t="b">
        <v>1</v>
      </c>
    </row>
    <row r="96" spans="1:22">
      <c r="A96" s="17">
        <v>41726.385868055557</v>
      </c>
      <c r="B96" s="18">
        <v>41726.385868055557</v>
      </c>
      <c r="C96" s="17">
        <v>41726.426030092596</v>
      </c>
      <c r="D96" s="18">
        <v>41726.426030092596</v>
      </c>
      <c r="E96" s="19">
        <v>23</v>
      </c>
      <c r="F96" s="57" t="s">
        <v>356</v>
      </c>
      <c r="G96" s="19" t="str">
        <f t="shared" si="7"/>
        <v>74011</v>
      </c>
      <c r="H96" s="19" t="s">
        <v>196</v>
      </c>
      <c r="I96" s="19" t="s">
        <v>187</v>
      </c>
      <c r="J96" s="19" t="s">
        <v>206</v>
      </c>
      <c r="K96" s="19" t="s">
        <v>226</v>
      </c>
      <c r="L96" s="19">
        <v>1031</v>
      </c>
      <c r="M96" s="19" t="str">
        <f t="shared" si="5"/>
        <v>Radio 74011_UnitID_1031</v>
      </c>
      <c r="N96" s="55" t="s">
        <v>352</v>
      </c>
      <c r="O96" s="55" t="s">
        <v>363</v>
      </c>
      <c r="P96" s="19" t="s">
        <v>241</v>
      </c>
      <c r="Q96" s="101">
        <f t="shared" si="6"/>
        <v>4.016203703940846E-2</v>
      </c>
      <c r="R96" s="102" t="b">
        <v>0</v>
      </c>
      <c r="S96" s="102" t="b">
        <v>0</v>
      </c>
    </row>
    <row r="97" spans="1:22">
      <c r="A97" s="17">
        <v>41726.385868055557</v>
      </c>
      <c r="B97" s="18">
        <v>41726.385868055557</v>
      </c>
      <c r="C97" s="17">
        <v>41726.534178240741</v>
      </c>
      <c r="D97" s="18">
        <v>41726.534178240741</v>
      </c>
      <c r="E97" s="19">
        <v>24</v>
      </c>
      <c r="F97" s="57" t="s">
        <v>357</v>
      </c>
      <c r="G97" s="19" t="str">
        <f t="shared" si="7"/>
        <v>15413</v>
      </c>
      <c r="H97" s="19" t="s">
        <v>188</v>
      </c>
      <c r="I97" s="19" t="s">
        <v>189</v>
      </c>
      <c r="J97" s="19" t="s">
        <v>190</v>
      </c>
      <c r="K97" s="19" t="s">
        <v>191</v>
      </c>
      <c r="L97" s="19">
        <v>2911</v>
      </c>
      <c r="M97" s="19" t="str">
        <f t="shared" si="5"/>
        <v>Radio 15413_UnitID_2911</v>
      </c>
      <c r="N97" s="55" t="s">
        <v>358</v>
      </c>
      <c r="O97" s="55"/>
      <c r="P97" s="19" t="s">
        <v>193</v>
      </c>
      <c r="Q97" s="101">
        <f t="shared" si="6"/>
        <v>0.14831018518452765</v>
      </c>
      <c r="R97" s="19" t="b">
        <v>1</v>
      </c>
      <c r="S97" s="19" t="b">
        <v>1</v>
      </c>
    </row>
    <row r="98" spans="1:22">
      <c r="A98" s="17">
        <v>41726.385868055557</v>
      </c>
      <c r="B98" s="18">
        <v>41726.385868055557</v>
      </c>
      <c r="C98" s="17">
        <v>41726.537199074075</v>
      </c>
      <c r="D98" s="18">
        <v>41726.537199074075</v>
      </c>
      <c r="E98" s="19">
        <v>25</v>
      </c>
      <c r="F98" s="57" t="s">
        <v>359</v>
      </c>
      <c r="G98" s="19" t="str">
        <f t="shared" si="7"/>
        <v>15129</v>
      </c>
      <c r="H98" s="19" t="s">
        <v>188</v>
      </c>
      <c r="I98" s="19" t="s">
        <v>189</v>
      </c>
      <c r="J98" s="19" t="s">
        <v>190</v>
      </c>
      <c r="K98" s="19" t="s">
        <v>191</v>
      </c>
      <c r="L98" s="19">
        <v>5831</v>
      </c>
      <c r="M98" s="19" t="str">
        <f t="shared" si="5"/>
        <v>Radio 15129_UnitID_5831</v>
      </c>
      <c r="N98" s="55" t="s">
        <v>360</v>
      </c>
      <c r="O98" s="55"/>
      <c r="P98" s="19" t="s">
        <v>193</v>
      </c>
      <c r="Q98" s="101">
        <f t="shared" si="6"/>
        <v>0.15133101851824904</v>
      </c>
      <c r="R98" s="19" t="b">
        <v>1</v>
      </c>
      <c r="S98" s="19" t="b">
        <v>1</v>
      </c>
    </row>
    <row r="99" spans="1:22">
      <c r="A99" s="17">
        <v>41726.385868055557</v>
      </c>
      <c r="B99" s="18">
        <v>41726.385868055557</v>
      </c>
      <c r="C99" s="17">
        <v>41726.543599537035</v>
      </c>
      <c r="D99" s="18">
        <v>41726.543599537035</v>
      </c>
      <c r="E99" s="19">
        <v>25</v>
      </c>
      <c r="F99" s="57" t="s">
        <v>361</v>
      </c>
      <c r="G99" s="19" t="str">
        <f t="shared" si="7"/>
        <v>15646</v>
      </c>
      <c r="H99" s="19" t="s">
        <v>188</v>
      </c>
      <c r="I99" s="19" t="s">
        <v>189</v>
      </c>
      <c r="J99" s="19" t="s">
        <v>190</v>
      </c>
      <c r="K99" s="19" t="s">
        <v>191</v>
      </c>
      <c r="L99" s="19">
        <v>5821</v>
      </c>
      <c r="M99" s="19" t="str">
        <f t="shared" si="5"/>
        <v>Radio 15646_UnitID_5821</v>
      </c>
      <c r="N99" s="55" t="s">
        <v>360</v>
      </c>
      <c r="O99" s="55"/>
      <c r="P99" s="19" t="s">
        <v>193</v>
      </c>
      <c r="Q99" s="101">
        <f t="shared" si="6"/>
        <v>0.15773148147854954</v>
      </c>
      <c r="R99" s="19" t="b">
        <v>1</v>
      </c>
      <c r="S99" s="19" t="b">
        <v>1</v>
      </c>
    </row>
    <row r="100" spans="1:22">
      <c r="A100" s="17">
        <v>41726.385868055557</v>
      </c>
      <c r="B100" s="18">
        <v>41726.385868055557</v>
      </c>
      <c r="C100" s="17">
        <v>41726.542916666665</v>
      </c>
      <c r="D100" s="18">
        <v>41726.542916666665</v>
      </c>
      <c r="E100" s="19">
        <v>25</v>
      </c>
      <c r="F100" s="57" t="s">
        <v>362</v>
      </c>
      <c r="G100" s="19" t="str">
        <f t="shared" si="7"/>
        <v>15131</v>
      </c>
      <c r="H100" s="19" t="s">
        <v>188</v>
      </c>
      <c r="I100" s="19" t="s">
        <v>189</v>
      </c>
      <c r="J100" s="19" t="s">
        <v>190</v>
      </c>
      <c r="K100" s="19" t="s">
        <v>191</v>
      </c>
      <c r="L100" s="19">
        <v>5811</v>
      </c>
      <c r="M100" s="19" t="str">
        <f t="shared" si="5"/>
        <v>Radio 15131_UnitID_5811</v>
      </c>
      <c r="N100" s="55" t="s">
        <v>360</v>
      </c>
      <c r="O100" s="55"/>
      <c r="P100" s="19" t="s">
        <v>193</v>
      </c>
      <c r="Q100" s="101">
        <f t="shared" si="6"/>
        <v>0.15704861110862112</v>
      </c>
      <c r="R100" s="19" t="b">
        <v>1</v>
      </c>
      <c r="S100" s="19" t="b">
        <v>1</v>
      </c>
      <c r="V100" s="55" t="s">
        <v>380</v>
      </c>
    </row>
    <row r="101" spans="1:22" ht="60">
      <c r="A101" s="17">
        <v>41726.428067129629</v>
      </c>
      <c r="B101" s="18">
        <v>41726.428067129629</v>
      </c>
      <c r="C101" s="17">
        <v>41727.539074074077</v>
      </c>
      <c r="D101" s="18">
        <v>41727.539074074077</v>
      </c>
      <c r="E101" s="19">
        <v>26</v>
      </c>
      <c r="F101" s="57" t="s">
        <v>365</v>
      </c>
      <c r="G101" s="107" t="str">
        <f t="shared" si="7"/>
        <v>50180</v>
      </c>
      <c r="H101" s="107" t="s">
        <v>366</v>
      </c>
      <c r="I101" s="19" t="s">
        <v>190</v>
      </c>
      <c r="J101" s="19" t="s">
        <v>206</v>
      </c>
      <c r="K101" s="19" t="s">
        <v>191</v>
      </c>
      <c r="L101" s="19">
        <v>1220</v>
      </c>
      <c r="M101" s="19" t="str">
        <f>CONCATENATE("Radio ",G101,"_UnitID_",L101)</f>
        <v>Radio 50180_UnitID_1220</v>
      </c>
      <c r="N101" s="55" t="s">
        <v>352</v>
      </c>
      <c r="O101" s="110" t="s">
        <v>515</v>
      </c>
      <c r="P101" s="19" t="s">
        <v>204</v>
      </c>
      <c r="Q101" s="101">
        <f>D101-B101</f>
        <v>1.1110069444475812</v>
      </c>
      <c r="R101" s="19" t="b">
        <v>1</v>
      </c>
      <c r="S101" s="19" t="b">
        <v>1</v>
      </c>
    </row>
    <row r="102" spans="1:22" ht="30">
      <c r="A102" s="17">
        <v>41726.428067129629</v>
      </c>
      <c r="B102" s="18">
        <v>41726.428067129629</v>
      </c>
      <c r="C102" s="17">
        <v>41726.594548611109</v>
      </c>
      <c r="D102" s="18">
        <v>41726.594548611109</v>
      </c>
      <c r="E102" s="19">
        <v>27</v>
      </c>
      <c r="F102" s="57" t="s">
        <v>367</v>
      </c>
      <c r="G102" s="19" t="str">
        <f t="shared" si="7"/>
        <v>15540</v>
      </c>
      <c r="H102" s="19" t="s">
        <v>188</v>
      </c>
      <c r="I102" s="19" t="s">
        <v>189</v>
      </c>
      <c r="J102" s="19" t="s">
        <v>190</v>
      </c>
      <c r="K102" s="19" t="s">
        <v>191</v>
      </c>
      <c r="L102" s="19">
        <v>5731</v>
      </c>
      <c r="M102" s="19" t="str">
        <f t="shared" ref="M102:M165" si="8">CONCATENATE("Radio ",G102,"_UnitID_",L102)</f>
        <v>Radio 15540_UnitID_5731</v>
      </c>
      <c r="N102" s="55" t="s">
        <v>368</v>
      </c>
      <c r="O102" s="55"/>
      <c r="P102" s="19" t="s">
        <v>369</v>
      </c>
      <c r="Q102" s="101">
        <f t="shared" ref="Q102:Q165" si="9">D102-B102</f>
        <v>0.16648148147942265</v>
      </c>
      <c r="R102" s="19" t="b">
        <v>1</v>
      </c>
      <c r="S102" s="19" t="b">
        <v>1</v>
      </c>
    </row>
    <row r="103" spans="1:22" ht="30">
      <c r="A103" s="17">
        <v>41726.428067129629</v>
      </c>
      <c r="B103" s="18">
        <v>41726.428067129629</v>
      </c>
      <c r="C103" s="17">
        <v>41726.594351851854</v>
      </c>
      <c r="D103" s="18">
        <v>41726.594351851854</v>
      </c>
      <c r="E103" s="19">
        <v>27</v>
      </c>
      <c r="F103" s="57" t="s">
        <v>370</v>
      </c>
      <c r="G103" s="19" t="str">
        <f t="shared" si="7"/>
        <v>15155</v>
      </c>
      <c r="H103" s="19" t="s">
        <v>188</v>
      </c>
      <c r="I103" s="19" t="s">
        <v>189</v>
      </c>
      <c r="J103" s="19" t="s">
        <v>190</v>
      </c>
      <c r="K103" s="19" t="s">
        <v>191</v>
      </c>
      <c r="L103" s="19">
        <v>5721</v>
      </c>
      <c r="M103" s="19" t="str">
        <f t="shared" si="8"/>
        <v>Radio 15155_UnitID_5721</v>
      </c>
      <c r="N103" s="55" t="s">
        <v>368</v>
      </c>
      <c r="O103" s="55"/>
      <c r="P103" s="19" t="s">
        <v>204</v>
      </c>
      <c r="Q103" s="101">
        <f t="shared" si="9"/>
        <v>0.16628472222510027</v>
      </c>
      <c r="R103" s="19" t="b">
        <v>1</v>
      </c>
      <c r="S103" s="19" t="b">
        <v>1</v>
      </c>
    </row>
    <row r="104" spans="1:22" ht="30">
      <c r="A104" s="17">
        <v>41726.428067129629</v>
      </c>
      <c r="B104" s="18">
        <v>41726.428067129629</v>
      </c>
      <c r="C104" s="17">
        <v>41726.594201388885</v>
      </c>
      <c r="D104" s="18">
        <v>41726.594201388885</v>
      </c>
      <c r="E104" s="19">
        <v>27</v>
      </c>
      <c r="F104" s="57" t="s">
        <v>371</v>
      </c>
      <c r="G104" s="19" t="str">
        <f t="shared" si="7"/>
        <v>15538</v>
      </c>
      <c r="H104" s="19" t="s">
        <v>188</v>
      </c>
      <c r="I104" s="19" t="s">
        <v>189</v>
      </c>
      <c r="J104" s="19" t="s">
        <v>190</v>
      </c>
      <c r="K104" s="19" t="s">
        <v>191</v>
      </c>
      <c r="L104" s="19">
        <v>5751</v>
      </c>
      <c r="M104" s="19" t="str">
        <f t="shared" si="8"/>
        <v>Radio 15538_UnitID_5751</v>
      </c>
      <c r="N104" s="55" t="s">
        <v>368</v>
      </c>
      <c r="O104" s="55"/>
      <c r="P104" s="19" t="s">
        <v>204</v>
      </c>
      <c r="Q104" s="101">
        <f t="shared" si="9"/>
        <v>0.16613425925606862</v>
      </c>
      <c r="R104" s="19" t="b">
        <v>1</v>
      </c>
      <c r="S104" s="19" t="b">
        <v>1</v>
      </c>
    </row>
    <row r="105" spans="1:22" ht="30">
      <c r="A105" s="17">
        <v>41726.428067129629</v>
      </c>
      <c r="B105" s="18">
        <v>41726.428067129629</v>
      </c>
      <c r="C105" s="17">
        <v>41726.594444444447</v>
      </c>
      <c r="D105" s="18">
        <v>41726.594444444447</v>
      </c>
      <c r="E105" s="19">
        <v>27</v>
      </c>
      <c r="F105" s="57" t="s">
        <v>372</v>
      </c>
      <c r="G105" s="19" t="str">
        <f t="shared" si="7"/>
        <v>15364</v>
      </c>
      <c r="H105" s="19" t="s">
        <v>188</v>
      </c>
      <c r="I105" s="19" t="s">
        <v>189</v>
      </c>
      <c r="J105" s="19" t="s">
        <v>190</v>
      </c>
      <c r="K105" s="19" t="s">
        <v>191</v>
      </c>
      <c r="L105" s="19">
        <v>5741</v>
      </c>
      <c r="M105" s="19" t="str">
        <f t="shared" si="8"/>
        <v>Radio 15364_UnitID_5741</v>
      </c>
      <c r="N105" s="55" t="s">
        <v>368</v>
      </c>
      <c r="O105" s="55"/>
      <c r="P105" s="19" t="s">
        <v>204</v>
      </c>
      <c r="Q105" s="101">
        <f t="shared" si="9"/>
        <v>0.16637731481750961</v>
      </c>
      <c r="R105" s="19" t="b">
        <v>1</v>
      </c>
      <c r="S105" s="19" t="b">
        <v>1</v>
      </c>
    </row>
    <row r="106" spans="1:22" ht="30">
      <c r="A106" s="17">
        <v>41726.428067129629</v>
      </c>
      <c r="B106" s="18">
        <v>41726.428067129629</v>
      </c>
      <c r="C106" s="17">
        <v>41726.736967592595</v>
      </c>
      <c r="D106" s="18">
        <v>41726.736967592595</v>
      </c>
      <c r="E106" s="19">
        <v>27</v>
      </c>
      <c r="F106" s="57" t="s">
        <v>373</v>
      </c>
      <c r="G106" s="19" t="str">
        <f t="shared" si="7"/>
        <v>26672</v>
      </c>
      <c r="H106" s="19" t="s">
        <v>244</v>
      </c>
      <c r="I106" s="19" t="s">
        <v>374</v>
      </c>
      <c r="J106" s="19" t="s">
        <v>190</v>
      </c>
      <c r="K106" s="19" t="s">
        <v>191</v>
      </c>
      <c r="L106" s="19">
        <v>5711</v>
      </c>
      <c r="M106" s="19" t="str">
        <f t="shared" si="8"/>
        <v>Radio 26672_UnitID_5711</v>
      </c>
      <c r="N106" s="55" t="s">
        <v>368</v>
      </c>
      <c r="O106" s="55" t="s">
        <v>379</v>
      </c>
      <c r="P106" s="19" t="s">
        <v>204</v>
      </c>
      <c r="Q106" s="101">
        <f t="shared" si="9"/>
        <v>0.30890046296553919</v>
      </c>
      <c r="R106" s="19" t="b">
        <v>1</v>
      </c>
      <c r="S106" s="19" t="b">
        <v>1</v>
      </c>
    </row>
    <row r="107" spans="1:22">
      <c r="A107" s="17">
        <v>41726.485925925925</v>
      </c>
      <c r="B107" s="18">
        <v>41726.485925925925</v>
      </c>
      <c r="C107" s="17">
        <v>41726.487754629627</v>
      </c>
      <c r="D107" s="18">
        <v>41726.487754629627</v>
      </c>
      <c r="F107" s="57" t="s">
        <v>378</v>
      </c>
      <c r="G107" s="19" t="str">
        <f t="shared" si="7"/>
        <v>15978</v>
      </c>
      <c r="H107" s="19" t="s">
        <v>188</v>
      </c>
      <c r="I107" s="19" t="s">
        <v>189</v>
      </c>
      <c r="J107" s="19" t="s">
        <v>190</v>
      </c>
      <c r="K107" s="19" t="s">
        <v>191</v>
      </c>
      <c r="L107" s="19">
        <v>2261</v>
      </c>
      <c r="M107" s="19" t="str">
        <f t="shared" si="8"/>
        <v>Radio 15978_UnitID_2261</v>
      </c>
      <c r="N107" s="55" t="s">
        <v>318</v>
      </c>
      <c r="O107" s="55" t="s">
        <v>148</v>
      </c>
      <c r="P107" s="19" t="s">
        <v>241</v>
      </c>
      <c r="Q107" s="101">
        <f t="shared" si="9"/>
        <v>1.8287037019035779E-3</v>
      </c>
      <c r="R107" s="19" t="b">
        <v>1</v>
      </c>
      <c r="S107" s="19" t="b">
        <v>1</v>
      </c>
    </row>
    <row r="108" spans="1:22" ht="30">
      <c r="A108" s="17">
        <v>41726.550173611111</v>
      </c>
      <c r="B108" s="18">
        <v>41726.550173611111</v>
      </c>
      <c r="C108" s="17">
        <v>41727.554479166669</v>
      </c>
      <c r="D108" s="18">
        <v>41727.554479166669</v>
      </c>
      <c r="E108" s="19">
        <v>28</v>
      </c>
      <c r="F108" s="57" t="s">
        <v>381</v>
      </c>
      <c r="G108" s="19" t="str">
        <f t="shared" si="7"/>
        <v>17157</v>
      </c>
      <c r="H108" s="19" t="s">
        <v>244</v>
      </c>
      <c r="I108" s="19" t="s">
        <v>245</v>
      </c>
      <c r="J108" s="19" t="s">
        <v>190</v>
      </c>
      <c r="K108" s="19" t="s">
        <v>191</v>
      </c>
      <c r="L108" s="19">
        <v>2181</v>
      </c>
      <c r="M108" s="19" t="str">
        <f>CONCATENATE("Radio ",G108,"_UnitID_",L108)</f>
        <v>Radio 17157_UnitID_2181</v>
      </c>
      <c r="N108" s="55" t="s">
        <v>516</v>
      </c>
      <c r="O108" s="55"/>
      <c r="P108" s="19" t="s">
        <v>204</v>
      </c>
      <c r="Q108" s="101">
        <f t="shared" si="9"/>
        <v>1.0043055555579485</v>
      </c>
      <c r="R108" s="19" t="b">
        <v>1</v>
      </c>
      <c r="S108" s="19" t="b">
        <v>1</v>
      </c>
    </row>
    <row r="109" spans="1:22" ht="30">
      <c r="A109" s="17">
        <v>41726.550173611111</v>
      </c>
      <c r="B109" s="18">
        <v>41726.550173611111</v>
      </c>
      <c r="C109" s="17">
        <v>41726.614733796298</v>
      </c>
      <c r="D109" s="18">
        <v>41726.614733796298</v>
      </c>
      <c r="E109" s="19">
        <v>28</v>
      </c>
      <c r="F109" s="57" t="s">
        <v>382</v>
      </c>
      <c r="G109" s="19" t="str">
        <f t="shared" si="7"/>
        <v>15651</v>
      </c>
      <c r="H109" s="19" t="s">
        <v>244</v>
      </c>
      <c r="I109" s="19" t="s">
        <v>189</v>
      </c>
      <c r="J109" s="19" t="s">
        <v>190</v>
      </c>
      <c r="K109" s="19" t="s">
        <v>191</v>
      </c>
      <c r="L109" s="19">
        <v>2191</v>
      </c>
      <c r="M109" s="19" t="str">
        <f t="shared" si="8"/>
        <v>Radio 15651_UnitID_2191</v>
      </c>
      <c r="N109" s="55" t="s">
        <v>395</v>
      </c>
      <c r="O109" s="55"/>
      <c r="P109" s="19" t="s">
        <v>204</v>
      </c>
      <c r="Q109" s="101">
        <f t="shared" si="9"/>
        <v>6.4560185186564922E-2</v>
      </c>
      <c r="R109" s="19" t="b">
        <v>1</v>
      </c>
      <c r="S109" s="19" t="b">
        <v>1</v>
      </c>
    </row>
    <row r="110" spans="1:22">
      <c r="A110" s="17">
        <v>41726.568124999998</v>
      </c>
      <c r="B110" s="18">
        <v>41726.568124999998</v>
      </c>
      <c r="C110" s="17">
        <v>41726.705520833333</v>
      </c>
      <c r="D110" s="18">
        <v>41726.705520833333</v>
      </c>
      <c r="E110" s="19">
        <v>29</v>
      </c>
      <c r="F110" s="57" t="s">
        <v>383</v>
      </c>
      <c r="G110" s="19" t="str">
        <f t="shared" si="7"/>
        <v>15151</v>
      </c>
      <c r="H110" s="19" t="s">
        <v>384</v>
      </c>
      <c r="I110" s="19" t="s">
        <v>189</v>
      </c>
      <c r="J110" s="19" t="s">
        <v>190</v>
      </c>
      <c r="K110" s="19" t="s">
        <v>191</v>
      </c>
      <c r="L110" s="19">
        <v>6271</v>
      </c>
      <c r="M110" s="19" t="str">
        <f t="shared" si="8"/>
        <v>Radio 15151_UnitID_6271</v>
      </c>
      <c r="N110" s="55" t="s">
        <v>385</v>
      </c>
      <c r="O110" s="55"/>
      <c r="P110" s="19" t="s">
        <v>193</v>
      </c>
      <c r="Q110" s="101">
        <f t="shared" si="9"/>
        <v>0.13739583333517658</v>
      </c>
      <c r="R110" s="19" t="b">
        <v>1</v>
      </c>
      <c r="S110" s="19" t="b">
        <v>1</v>
      </c>
    </row>
    <row r="111" spans="1:22">
      <c r="A111" s="17">
        <v>41726.568124999998</v>
      </c>
      <c r="B111" s="18">
        <v>41726.568124999998</v>
      </c>
      <c r="C111" s="17">
        <v>41726.705891203703</v>
      </c>
      <c r="D111" s="18">
        <v>41726.705891203703</v>
      </c>
      <c r="E111" s="19">
        <v>29</v>
      </c>
      <c r="F111" s="57" t="s">
        <v>386</v>
      </c>
      <c r="G111" s="19" t="str">
        <f t="shared" si="7"/>
        <v>15601</v>
      </c>
      <c r="H111" s="19" t="s">
        <v>384</v>
      </c>
      <c r="I111" s="19" t="s">
        <v>189</v>
      </c>
      <c r="J111" s="19" t="s">
        <v>190</v>
      </c>
      <c r="K111" s="19" t="s">
        <v>191</v>
      </c>
      <c r="L111" s="19">
        <v>6211</v>
      </c>
      <c r="M111" s="19" t="str">
        <f t="shared" si="8"/>
        <v>Radio 15601_UnitID_6211</v>
      </c>
      <c r="N111" s="55" t="s">
        <v>385</v>
      </c>
      <c r="O111" s="55"/>
      <c r="P111" s="19" t="s">
        <v>221</v>
      </c>
      <c r="Q111" s="101">
        <f t="shared" si="9"/>
        <v>0.13776620370481396</v>
      </c>
      <c r="R111" s="19" t="b">
        <v>1</v>
      </c>
      <c r="S111" s="19" t="b">
        <v>1</v>
      </c>
    </row>
    <row r="112" spans="1:22">
      <c r="A112" s="17">
        <v>41726.568124999998</v>
      </c>
      <c r="B112" s="18">
        <v>41726.568124999998</v>
      </c>
      <c r="C112" s="17">
        <v>41726.706087962964</v>
      </c>
      <c r="D112" s="18">
        <v>41726.706087962964</v>
      </c>
      <c r="E112" s="19">
        <v>29</v>
      </c>
      <c r="F112" s="57" t="s">
        <v>387</v>
      </c>
      <c r="G112" s="19" t="str">
        <f t="shared" si="7"/>
        <v>15943</v>
      </c>
      <c r="H112" s="19" t="s">
        <v>384</v>
      </c>
      <c r="I112" s="19" t="s">
        <v>189</v>
      </c>
      <c r="J112" s="19" t="s">
        <v>190</v>
      </c>
      <c r="K112" s="19" t="s">
        <v>191</v>
      </c>
      <c r="L112" s="19">
        <v>6231</v>
      </c>
      <c r="M112" s="19" t="str">
        <f t="shared" si="8"/>
        <v>Radio 15943_UnitID_6231</v>
      </c>
      <c r="N112" s="55" t="s">
        <v>385</v>
      </c>
      <c r="O112" s="55"/>
      <c r="P112" s="19" t="s">
        <v>369</v>
      </c>
      <c r="Q112" s="101">
        <f t="shared" si="9"/>
        <v>0.13796296296641231</v>
      </c>
      <c r="R112" s="19" t="b">
        <v>1</v>
      </c>
      <c r="S112" s="19" t="b">
        <v>1</v>
      </c>
    </row>
    <row r="113" spans="1:19">
      <c r="A113" s="17">
        <v>41726.568124999998</v>
      </c>
      <c r="B113" s="18">
        <v>41726.568124999998</v>
      </c>
      <c r="C113" s="17">
        <v>41727.471562500003</v>
      </c>
      <c r="D113" s="18">
        <v>41727.471562500003</v>
      </c>
      <c r="E113" s="19">
        <v>29</v>
      </c>
      <c r="F113" s="57" t="s">
        <v>388</v>
      </c>
      <c r="G113" s="107" t="str">
        <f t="shared" si="7"/>
        <v>13755</v>
      </c>
      <c r="H113" s="107" t="s">
        <v>384</v>
      </c>
      <c r="I113" s="107" t="s">
        <v>189</v>
      </c>
      <c r="J113" s="107" t="s">
        <v>190</v>
      </c>
      <c r="K113" s="107" t="s">
        <v>191</v>
      </c>
      <c r="L113" s="107">
        <v>6291</v>
      </c>
      <c r="M113" s="107" t="str">
        <f>CONCATENATE("Radio ",G113,"_UnitID_",L113)</f>
        <v>Radio 13755_UnitID_6291</v>
      </c>
      <c r="N113" s="110" t="s">
        <v>385</v>
      </c>
      <c r="O113" s="110"/>
      <c r="P113" s="19" t="s">
        <v>369</v>
      </c>
      <c r="Q113" s="101">
        <f t="shared" si="9"/>
        <v>0.90343750000465661</v>
      </c>
      <c r="R113" s="19" t="b">
        <v>1</v>
      </c>
      <c r="S113" s="19" t="b">
        <v>1</v>
      </c>
    </row>
    <row r="114" spans="1:19">
      <c r="A114" s="17">
        <v>41726.568124999998</v>
      </c>
      <c r="B114" s="18">
        <v>41726.568124999998</v>
      </c>
      <c r="C114" s="17">
        <v>41726.705659722225</v>
      </c>
      <c r="D114" s="18">
        <v>41726.705659722225</v>
      </c>
      <c r="E114" s="19">
        <v>29</v>
      </c>
      <c r="F114" s="57" t="s">
        <v>389</v>
      </c>
      <c r="G114" s="107" t="str">
        <f t="shared" si="7"/>
        <v>83917</v>
      </c>
      <c r="H114" s="107" t="s">
        <v>188</v>
      </c>
      <c r="I114" s="107" t="s">
        <v>189</v>
      </c>
      <c r="J114" s="107" t="s">
        <v>190</v>
      </c>
      <c r="K114" s="107" t="s">
        <v>191</v>
      </c>
      <c r="L114" s="107">
        <v>6261</v>
      </c>
      <c r="M114" s="107" t="str">
        <f t="shared" si="8"/>
        <v>Radio 83917_UnitID_6261</v>
      </c>
      <c r="N114" s="110" t="s">
        <v>385</v>
      </c>
      <c r="O114" s="110"/>
      <c r="P114" s="19" t="s">
        <v>369</v>
      </c>
      <c r="Q114" s="101">
        <f t="shared" si="9"/>
        <v>0.13753472222742857</v>
      </c>
      <c r="R114" s="19" t="b">
        <v>1</v>
      </c>
      <c r="S114" s="19" t="b">
        <v>1</v>
      </c>
    </row>
    <row r="115" spans="1:19">
      <c r="A115" s="17">
        <v>41726.568124999998</v>
      </c>
      <c r="B115" s="18">
        <v>41726.568124999998</v>
      </c>
      <c r="C115" s="17">
        <v>41727.470370370371</v>
      </c>
      <c r="D115" s="18">
        <v>41727.470370370371</v>
      </c>
      <c r="E115" s="19">
        <v>29</v>
      </c>
      <c r="F115" s="57" t="s">
        <v>390</v>
      </c>
      <c r="G115" s="107" t="str">
        <f t="shared" si="7"/>
        <v>15667</v>
      </c>
      <c r="H115" s="107" t="s">
        <v>188</v>
      </c>
      <c r="I115" s="107" t="s">
        <v>189</v>
      </c>
      <c r="J115" s="107" t="s">
        <v>190</v>
      </c>
      <c r="K115" s="107" t="s">
        <v>191</v>
      </c>
      <c r="L115" s="107">
        <v>6241</v>
      </c>
      <c r="M115" s="107" t="str">
        <f>CONCATENATE("Radio ",G115,"_UnitID_",L115)</f>
        <v>Radio 15667_UnitID_6241</v>
      </c>
      <c r="N115" s="110" t="s">
        <v>385</v>
      </c>
      <c r="O115" s="110"/>
      <c r="P115" s="19" t="s">
        <v>369</v>
      </c>
      <c r="Q115" s="101">
        <f t="shared" si="9"/>
        <v>0.90224537037283881</v>
      </c>
      <c r="R115" s="19" t="b">
        <v>1</v>
      </c>
      <c r="S115" s="19" t="b">
        <v>1</v>
      </c>
    </row>
    <row r="116" spans="1:19">
      <c r="A116" s="17">
        <v>41726.568124999998</v>
      </c>
      <c r="B116" s="18">
        <v>41726.568124999998</v>
      </c>
      <c r="C116" s="17">
        <v>41726.706250000003</v>
      </c>
      <c r="D116" s="18">
        <v>41726.706250000003</v>
      </c>
      <c r="E116" s="19">
        <v>29</v>
      </c>
      <c r="F116" s="57" t="s">
        <v>391</v>
      </c>
      <c r="G116" s="19" t="str">
        <f t="shared" si="7"/>
        <v>16025</v>
      </c>
      <c r="H116" s="19" t="s">
        <v>188</v>
      </c>
      <c r="I116" s="19" t="s">
        <v>189</v>
      </c>
      <c r="J116" s="19" t="s">
        <v>190</v>
      </c>
      <c r="K116" s="19" t="s">
        <v>191</v>
      </c>
      <c r="L116" s="19">
        <v>6221</v>
      </c>
      <c r="M116" s="19" t="str">
        <f t="shared" si="8"/>
        <v>Radio 16025_UnitID_6221</v>
      </c>
      <c r="N116" s="55" t="s">
        <v>385</v>
      </c>
      <c r="O116" s="55"/>
      <c r="P116" s="19" t="s">
        <v>369</v>
      </c>
      <c r="Q116" s="101">
        <f t="shared" si="9"/>
        <v>0.13812500000494765</v>
      </c>
      <c r="R116" s="19" t="b">
        <v>1</v>
      </c>
      <c r="S116" s="19" t="b">
        <v>1</v>
      </c>
    </row>
    <row r="117" spans="1:19">
      <c r="A117" s="17">
        <v>41726.568124999998</v>
      </c>
      <c r="B117" s="18">
        <v>41726.568124999998</v>
      </c>
      <c r="C117" s="17">
        <v>41727.482453703706</v>
      </c>
      <c r="D117" s="18">
        <v>41727.482453703706</v>
      </c>
      <c r="E117" s="19">
        <v>29</v>
      </c>
      <c r="F117" s="57" t="s">
        <v>392</v>
      </c>
      <c r="G117" s="19" t="str">
        <f t="shared" si="7"/>
        <v>86147</v>
      </c>
      <c r="H117" s="19" t="s">
        <v>196</v>
      </c>
      <c r="I117" s="19" t="s">
        <v>187</v>
      </c>
      <c r="J117" s="19" t="s">
        <v>206</v>
      </c>
      <c r="K117" s="19" t="s">
        <v>226</v>
      </c>
      <c r="L117" s="19">
        <v>6281</v>
      </c>
      <c r="M117" s="19" t="str">
        <f>CONCATENATE("Radio ",G117,"_UnitID_",L117)</f>
        <v>Radio 86147_UnitID_6281</v>
      </c>
      <c r="N117" s="55" t="s">
        <v>385</v>
      </c>
      <c r="O117" s="55"/>
      <c r="P117" s="19" t="s">
        <v>193</v>
      </c>
      <c r="Q117" s="101">
        <f t="shared" si="9"/>
        <v>0.91432870370772434</v>
      </c>
      <c r="R117" s="19" t="b">
        <v>1</v>
      </c>
      <c r="S117" s="19" t="b">
        <v>1</v>
      </c>
    </row>
    <row r="118" spans="1:19">
      <c r="A118" s="17">
        <v>41726.680671296293</v>
      </c>
      <c r="B118" s="18">
        <v>41726.680671296293</v>
      </c>
      <c r="C118" s="17">
        <v>41727.36855324074</v>
      </c>
      <c r="D118" s="18">
        <v>41727.36855324074</v>
      </c>
      <c r="E118" s="19">
        <v>30</v>
      </c>
      <c r="F118" s="57" t="s">
        <v>397</v>
      </c>
      <c r="G118" s="19" t="str">
        <f t="shared" si="7"/>
        <v>15530</v>
      </c>
      <c r="H118" s="19" t="s">
        <v>188</v>
      </c>
      <c r="I118" s="19" t="s">
        <v>189</v>
      </c>
      <c r="J118" s="19" t="s">
        <v>190</v>
      </c>
      <c r="K118" s="19" t="s">
        <v>191</v>
      </c>
      <c r="L118" s="19">
        <v>5531</v>
      </c>
      <c r="M118" s="19" t="str">
        <f t="shared" si="8"/>
        <v>Radio 15530_UnitID_5531</v>
      </c>
      <c r="N118" s="55" t="s">
        <v>398</v>
      </c>
      <c r="O118" s="55"/>
      <c r="P118" s="19" t="s">
        <v>369</v>
      </c>
      <c r="Q118" s="101">
        <f t="shared" si="9"/>
        <v>0.68788194444641704</v>
      </c>
      <c r="R118" s="19" t="b">
        <v>1</v>
      </c>
      <c r="S118" s="19" t="b">
        <v>1</v>
      </c>
    </row>
    <row r="119" spans="1:19">
      <c r="A119" s="17">
        <v>41726.680671296293</v>
      </c>
      <c r="B119" s="18">
        <v>41726.680671296293</v>
      </c>
      <c r="C119" s="17">
        <v>41727.367685185185</v>
      </c>
      <c r="D119" s="18">
        <v>41727.367685185185</v>
      </c>
      <c r="E119" s="19">
        <v>30</v>
      </c>
      <c r="F119" s="57" t="s">
        <v>399</v>
      </c>
      <c r="G119" s="19" t="str">
        <f t="shared" si="7"/>
        <v>14178</v>
      </c>
      <c r="H119" s="19" t="s">
        <v>188</v>
      </c>
      <c r="I119" s="19" t="s">
        <v>189</v>
      </c>
      <c r="J119" s="19" t="s">
        <v>190</v>
      </c>
      <c r="K119" s="19" t="s">
        <v>191</v>
      </c>
      <c r="L119" s="19">
        <v>5521</v>
      </c>
      <c r="M119" s="19" t="str">
        <f t="shared" si="8"/>
        <v>Radio 14178_UnitID_5521</v>
      </c>
      <c r="N119" s="55" t="s">
        <v>398</v>
      </c>
      <c r="O119" s="55"/>
      <c r="P119" s="19" t="s">
        <v>369</v>
      </c>
      <c r="Q119" s="101">
        <f t="shared" si="9"/>
        <v>0.68701388889166992</v>
      </c>
      <c r="R119" s="19" t="b">
        <v>1</v>
      </c>
      <c r="S119" s="19" t="b">
        <v>1</v>
      </c>
    </row>
    <row r="120" spans="1:19">
      <c r="A120" s="17">
        <v>41726.680671296293</v>
      </c>
      <c r="B120" s="18">
        <v>41726.680671296293</v>
      </c>
      <c r="C120" s="17">
        <v>41727.367164351854</v>
      </c>
      <c r="D120" s="18">
        <v>41727.367164351854</v>
      </c>
      <c r="E120" s="19">
        <v>30</v>
      </c>
      <c r="F120" s="57" t="s">
        <v>400</v>
      </c>
      <c r="G120" s="19" t="str">
        <f t="shared" si="7"/>
        <v>15649</v>
      </c>
      <c r="H120" s="19" t="s">
        <v>188</v>
      </c>
      <c r="I120" s="19" t="s">
        <v>189</v>
      </c>
      <c r="J120" s="19" t="s">
        <v>190</v>
      </c>
      <c r="K120" s="19" t="s">
        <v>191</v>
      </c>
      <c r="L120" s="19">
        <v>5511</v>
      </c>
      <c r="M120" s="19" t="str">
        <f t="shared" si="8"/>
        <v>Radio 15649_UnitID_5511</v>
      </c>
      <c r="N120" s="55" t="s">
        <v>398</v>
      </c>
      <c r="O120" s="55"/>
      <c r="P120" s="19" t="s">
        <v>204</v>
      </c>
      <c r="Q120" s="101">
        <f t="shared" si="9"/>
        <v>0.68649305556027684</v>
      </c>
      <c r="R120" s="19" t="b">
        <v>1</v>
      </c>
      <c r="S120" s="19" t="b">
        <v>1</v>
      </c>
    </row>
    <row r="121" spans="1:19">
      <c r="A121" s="17">
        <v>41726.680671296293</v>
      </c>
      <c r="B121" s="18">
        <v>41726.680671296293</v>
      </c>
      <c r="C121" s="17">
        <v>41727.482175925928</v>
      </c>
      <c r="D121" s="18">
        <v>41727.482175925928</v>
      </c>
      <c r="E121" s="19">
        <v>30</v>
      </c>
      <c r="F121" s="57" t="s">
        <v>401</v>
      </c>
      <c r="G121" s="19" t="str">
        <f t="shared" si="7"/>
        <v>15710</v>
      </c>
      <c r="H121" s="19" t="s">
        <v>188</v>
      </c>
      <c r="I121" s="19" t="s">
        <v>189</v>
      </c>
      <c r="J121" s="19" t="s">
        <v>190</v>
      </c>
      <c r="K121" s="19" t="s">
        <v>191</v>
      </c>
      <c r="L121" s="19">
        <v>5541</v>
      </c>
      <c r="M121" s="19" t="str">
        <f t="shared" si="8"/>
        <v>Radio 15710_UnitID_5541</v>
      </c>
      <c r="N121" s="55" t="s">
        <v>398</v>
      </c>
      <c r="O121" s="55" t="s">
        <v>518</v>
      </c>
      <c r="P121" s="19" t="s">
        <v>204</v>
      </c>
      <c r="Q121" s="101">
        <f t="shared" si="9"/>
        <v>0.80150462963501923</v>
      </c>
      <c r="R121" s="19" t="b">
        <v>1</v>
      </c>
      <c r="S121" s="19" t="b">
        <v>1</v>
      </c>
    </row>
    <row r="122" spans="1:19" ht="45">
      <c r="A122" s="17">
        <v>41726.680671296293</v>
      </c>
      <c r="B122" s="18">
        <v>41726.680671296293</v>
      </c>
      <c r="C122" s="17">
        <v>41727.451273148145</v>
      </c>
      <c r="D122" s="18">
        <v>41727.451273148145</v>
      </c>
      <c r="E122" s="19">
        <v>31</v>
      </c>
      <c r="F122" s="57" t="s">
        <v>402</v>
      </c>
      <c r="G122" s="19" t="str">
        <f t="shared" si="7"/>
        <v>60717</v>
      </c>
      <c r="H122" s="19" t="s">
        <v>406</v>
      </c>
      <c r="I122" s="19" t="s">
        <v>189</v>
      </c>
      <c r="J122" s="19" t="s">
        <v>190</v>
      </c>
      <c r="K122" s="19" t="s">
        <v>191</v>
      </c>
      <c r="L122" s="19">
        <v>5381</v>
      </c>
      <c r="M122" s="19" t="str">
        <f t="shared" si="8"/>
        <v>Radio 60717_UnitID_5381</v>
      </c>
      <c r="N122" s="55" t="s">
        <v>403</v>
      </c>
      <c r="O122" s="55" t="s">
        <v>519</v>
      </c>
      <c r="P122" s="19" t="s">
        <v>369</v>
      </c>
      <c r="Q122" s="101">
        <f t="shared" si="9"/>
        <v>0.77060185185109731</v>
      </c>
      <c r="R122" s="19" t="b">
        <v>1</v>
      </c>
      <c r="S122" s="19" t="b">
        <v>1</v>
      </c>
    </row>
    <row r="123" spans="1:19">
      <c r="A123" s="17">
        <v>41726.680671296293</v>
      </c>
      <c r="B123" s="18">
        <v>41726.680671296293</v>
      </c>
      <c r="C123" s="17">
        <v>41727.373263888891</v>
      </c>
      <c r="D123" s="18">
        <v>41727.373263888891</v>
      </c>
      <c r="E123" s="19">
        <v>31</v>
      </c>
      <c r="F123" s="57" t="s">
        <v>404</v>
      </c>
      <c r="G123" s="19" t="str">
        <f t="shared" si="7"/>
        <v>60775</v>
      </c>
      <c r="H123" s="19" t="s">
        <v>406</v>
      </c>
      <c r="I123" s="19" t="s">
        <v>189</v>
      </c>
      <c r="J123" s="19" t="s">
        <v>190</v>
      </c>
      <c r="K123" s="19" t="s">
        <v>191</v>
      </c>
      <c r="L123" s="19">
        <v>5361</v>
      </c>
      <c r="M123" s="19" t="str">
        <f t="shared" si="8"/>
        <v>Radio 60775_UnitID_5361</v>
      </c>
      <c r="N123" s="55" t="s">
        <v>403</v>
      </c>
      <c r="O123" s="55"/>
      <c r="P123" s="19" t="s">
        <v>204</v>
      </c>
      <c r="Q123" s="101">
        <f t="shared" si="9"/>
        <v>0.69259259259706596</v>
      </c>
      <c r="R123" s="19" t="b">
        <v>1</v>
      </c>
      <c r="S123" s="19" t="b">
        <v>1</v>
      </c>
    </row>
    <row r="124" spans="1:19">
      <c r="A124" s="17">
        <v>41726.680671296293</v>
      </c>
      <c r="B124" s="18">
        <v>41726.680671296293</v>
      </c>
      <c r="C124" s="17">
        <v>41727.450173611112</v>
      </c>
      <c r="D124" s="18">
        <v>41727.450173611112</v>
      </c>
      <c r="E124" s="19">
        <v>31</v>
      </c>
      <c r="F124" s="57" t="s">
        <v>405</v>
      </c>
      <c r="G124" s="19" t="str">
        <f t="shared" si="7"/>
        <v>55515</v>
      </c>
      <c r="H124" s="19" t="s">
        <v>406</v>
      </c>
      <c r="I124" s="19" t="s">
        <v>189</v>
      </c>
      <c r="J124" s="19" t="s">
        <v>190</v>
      </c>
      <c r="K124" s="19" t="s">
        <v>191</v>
      </c>
      <c r="L124" s="19">
        <v>5391</v>
      </c>
      <c r="M124" s="19" t="str">
        <f t="shared" si="8"/>
        <v>Radio 55515_UnitID_5391</v>
      </c>
      <c r="N124" s="55" t="s">
        <v>403</v>
      </c>
      <c r="O124" s="55" t="s">
        <v>520</v>
      </c>
      <c r="P124" s="19" t="s">
        <v>204</v>
      </c>
      <c r="Q124" s="101">
        <f t="shared" si="9"/>
        <v>0.76950231481896481</v>
      </c>
      <c r="R124" s="19" t="b">
        <v>1</v>
      </c>
      <c r="S124" s="19" t="b">
        <v>1</v>
      </c>
    </row>
    <row r="125" spans="1:19">
      <c r="A125" s="17">
        <v>41726.680671296293</v>
      </c>
      <c r="B125" s="18">
        <v>41726.680671296293</v>
      </c>
      <c r="C125" s="17">
        <v>41727.450381944444</v>
      </c>
      <c r="D125" s="18">
        <v>41727.450381944444</v>
      </c>
      <c r="E125" s="19">
        <v>31</v>
      </c>
      <c r="F125" s="57" t="s">
        <v>407</v>
      </c>
      <c r="G125" s="19" t="str">
        <f t="shared" si="7"/>
        <v>55449</v>
      </c>
      <c r="H125" s="19" t="s">
        <v>406</v>
      </c>
      <c r="I125" s="19" t="s">
        <v>189</v>
      </c>
      <c r="J125" s="19" t="s">
        <v>190</v>
      </c>
      <c r="K125" s="19" t="s">
        <v>191</v>
      </c>
      <c r="L125" s="19">
        <v>5351</v>
      </c>
      <c r="M125" s="19" t="str">
        <f t="shared" si="8"/>
        <v>Radio 55449_UnitID_5351</v>
      </c>
      <c r="N125" s="55" t="s">
        <v>403</v>
      </c>
      <c r="O125" s="55" t="s">
        <v>521</v>
      </c>
      <c r="P125" s="19" t="s">
        <v>224</v>
      </c>
      <c r="Q125" s="101">
        <f t="shared" si="9"/>
        <v>0.76971064815006685</v>
      </c>
      <c r="R125" s="19" t="b">
        <v>1</v>
      </c>
      <c r="S125" s="19" t="b">
        <v>1</v>
      </c>
    </row>
    <row r="126" spans="1:19">
      <c r="A126" s="17">
        <v>41726.680671296293</v>
      </c>
      <c r="B126" s="18">
        <v>41726.680671296293</v>
      </c>
      <c r="C126" s="17">
        <v>41727.429791666669</v>
      </c>
      <c r="D126" s="18">
        <v>41727.429791666669</v>
      </c>
      <c r="E126" s="19">
        <v>31</v>
      </c>
      <c r="F126" s="57" t="s">
        <v>408</v>
      </c>
      <c r="G126" s="19" t="str">
        <f t="shared" si="7"/>
        <v>15379</v>
      </c>
      <c r="H126" s="19" t="s">
        <v>188</v>
      </c>
      <c r="I126" s="19" t="s">
        <v>189</v>
      </c>
      <c r="J126" s="19" t="s">
        <v>190</v>
      </c>
      <c r="K126" s="19" t="s">
        <v>191</v>
      </c>
      <c r="L126" s="19">
        <v>5321</v>
      </c>
      <c r="M126" s="19" t="str">
        <f t="shared" si="8"/>
        <v>Radio 15379_UnitID_5321</v>
      </c>
      <c r="N126" s="55" t="s">
        <v>403</v>
      </c>
      <c r="O126" s="55"/>
      <c r="P126" s="19" t="s">
        <v>409</v>
      </c>
      <c r="Q126" s="101">
        <f t="shared" si="9"/>
        <v>0.74912037037574919</v>
      </c>
      <c r="R126" s="19" t="b">
        <v>1</v>
      </c>
      <c r="S126" s="19" t="b">
        <v>1</v>
      </c>
    </row>
    <row r="127" spans="1:19">
      <c r="A127" s="17">
        <v>41726.680671296293</v>
      </c>
      <c r="B127" s="18">
        <v>41726.680671296293</v>
      </c>
      <c r="C127" s="17">
        <v>41727.428368055553</v>
      </c>
      <c r="D127" s="18">
        <v>41727.428368055553</v>
      </c>
      <c r="F127" s="57" t="s">
        <v>410</v>
      </c>
      <c r="G127" s="19" t="str">
        <f t="shared" si="7"/>
        <v>15700</v>
      </c>
      <c r="H127" s="19" t="s">
        <v>188</v>
      </c>
      <c r="I127" s="19" t="s">
        <v>189</v>
      </c>
      <c r="J127" s="19" t="s">
        <v>190</v>
      </c>
      <c r="K127" s="19" t="s">
        <v>191</v>
      </c>
      <c r="L127" s="19">
        <v>5341</v>
      </c>
      <c r="M127" s="19" t="str">
        <f t="shared" si="8"/>
        <v>Radio 15700_UnitID_5341</v>
      </c>
      <c r="N127" s="55" t="s">
        <v>403</v>
      </c>
      <c r="O127" s="55"/>
      <c r="P127" s="19" t="s">
        <v>369</v>
      </c>
      <c r="Q127" s="101">
        <f t="shared" si="9"/>
        <v>0.74769675925927004</v>
      </c>
      <c r="R127" s="19" t="b">
        <v>1</v>
      </c>
      <c r="S127" s="19" t="b">
        <v>1</v>
      </c>
    </row>
    <row r="128" spans="1:19">
      <c r="A128" s="17">
        <v>41726.680671296293</v>
      </c>
      <c r="B128" s="18">
        <v>41726.680671296293</v>
      </c>
      <c r="C128" s="17">
        <v>41727.372083333335</v>
      </c>
      <c r="D128" s="18">
        <v>41727.372083333335</v>
      </c>
      <c r="E128" s="19">
        <v>31</v>
      </c>
      <c r="F128" s="57" t="s">
        <v>411</v>
      </c>
      <c r="G128" s="19" t="str">
        <f t="shared" si="7"/>
        <v>13712</v>
      </c>
      <c r="H128" s="19" t="s">
        <v>188</v>
      </c>
      <c r="I128" s="19" t="s">
        <v>189</v>
      </c>
      <c r="J128" s="19" t="s">
        <v>190</v>
      </c>
      <c r="K128" s="19" t="s">
        <v>191</v>
      </c>
      <c r="L128" s="19">
        <v>5311</v>
      </c>
      <c r="M128" s="19" t="str">
        <f t="shared" si="8"/>
        <v>Radio 13712_UnitID_5311</v>
      </c>
      <c r="N128" s="55" t="s">
        <v>403</v>
      </c>
      <c r="O128" s="55"/>
      <c r="P128" s="19" t="s">
        <v>369</v>
      </c>
      <c r="Q128" s="101">
        <f t="shared" si="9"/>
        <v>0.69141203704202781</v>
      </c>
      <c r="R128" s="19" t="b">
        <v>1</v>
      </c>
      <c r="S128" s="19" t="b">
        <v>1</v>
      </c>
    </row>
    <row r="129" spans="1:22">
      <c r="A129" s="17">
        <v>41726.680671296293</v>
      </c>
      <c r="B129" s="18">
        <v>41726.680671296293</v>
      </c>
      <c r="C129" s="17">
        <v>41727.373136574075</v>
      </c>
      <c r="D129" s="18">
        <v>41727.373136574075</v>
      </c>
      <c r="E129" s="19">
        <v>31</v>
      </c>
      <c r="F129" s="57" t="s">
        <v>412</v>
      </c>
      <c r="G129" s="19" t="str">
        <f t="shared" si="7"/>
        <v>15143</v>
      </c>
      <c r="H129" s="19" t="s">
        <v>188</v>
      </c>
      <c r="I129" s="19" t="s">
        <v>189</v>
      </c>
      <c r="J129" s="19" t="s">
        <v>190</v>
      </c>
      <c r="K129" s="19" t="s">
        <v>191</v>
      </c>
      <c r="L129" s="19">
        <v>5331</v>
      </c>
      <c r="M129" s="19" t="str">
        <f t="shared" si="8"/>
        <v>Radio 15143_UnitID_5331</v>
      </c>
      <c r="N129" s="55" t="s">
        <v>403</v>
      </c>
      <c r="O129" s="55"/>
      <c r="P129" s="19" t="s">
        <v>369</v>
      </c>
      <c r="Q129" s="101">
        <f t="shared" si="9"/>
        <v>0.69246527778159361</v>
      </c>
      <c r="R129" s="19" t="b">
        <v>1</v>
      </c>
      <c r="S129" s="19" t="b">
        <v>1</v>
      </c>
    </row>
    <row r="130" spans="1:22">
      <c r="A130" s="17">
        <v>41726.680671296293</v>
      </c>
      <c r="B130" s="18">
        <v>41726.680671296293</v>
      </c>
      <c r="C130" s="17">
        <v>41727.482893518521</v>
      </c>
      <c r="D130" s="18">
        <v>41727.482893518521</v>
      </c>
      <c r="E130" s="19">
        <v>31</v>
      </c>
      <c r="F130" s="57" t="s">
        <v>413</v>
      </c>
      <c r="G130" s="19" t="str">
        <f t="shared" si="7"/>
        <v>65322</v>
      </c>
      <c r="H130" s="19" t="s">
        <v>406</v>
      </c>
      <c r="I130" s="19" t="s">
        <v>189</v>
      </c>
      <c r="J130" s="19" t="s">
        <v>190</v>
      </c>
      <c r="K130" s="19" t="s">
        <v>191</v>
      </c>
      <c r="L130" s="19">
        <v>5312</v>
      </c>
      <c r="M130" s="19" t="str">
        <f t="shared" si="8"/>
        <v>Radio 65322_UnitID_5312</v>
      </c>
      <c r="N130" s="55" t="s">
        <v>403</v>
      </c>
      <c r="O130" s="55" t="s">
        <v>522</v>
      </c>
      <c r="P130" s="19" t="s">
        <v>204</v>
      </c>
      <c r="Q130" s="101">
        <f t="shared" si="9"/>
        <v>0.80222222222801065</v>
      </c>
      <c r="R130" s="19" t="b">
        <v>1</v>
      </c>
      <c r="S130" s="19" t="b">
        <v>1</v>
      </c>
    </row>
    <row r="131" spans="1:22">
      <c r="A131" s="17">
        <v>41726.680671296293</v>
      </c>
      <c r="B131" s="18">
        <v>41726.680671296293</v>
      </c>
      <c r="C131" s="17">
        <v>41727.450740740744</v>
      </c>
      <c r="D131" s="18">
        <v>41727.450740740744</v>
      </c>
      <c r="E131" s="19">
        <v>31</v>
      </c>
      <c r="F131" s="57" t="s">
        <v>414</v>
      </c>
      <c r="G131" s="19" t="str">
        <f t="shared" ref="G131:G194" si="10">RIGHT(F131,5)</f>
        <v>60914</v>
      </c>
      <c r="H131" s="19" t="s">
        <v>406</v>
      </c>
      <c r="I131" s="19" t="s">
        <v>189</v>
      </c>
      <c r="J131" s="19" t="s">
        <v>190</v>
      </c>
      <c r="K131" s="19" t="s">
        <v>191</v>
      </c>
      <c r="L131" s="19">
        <v>5371</v>
      </c>
      <c r="M131" s="19" t="str">
        <f t="shared" si="8"/>
        <v>Radio 60914_UnitID_5371</v>
      </c>
      <c r="N131" s="55" t="s">
        <v>403</v>
      </c>
      <c r="O131" s="55" t="s">
        <v>148</v>
      </c>
      <c r="P131" s="19" t="s">
        <v>369</v>
      </c>
      <c r="Q131" s="101">
        <f t="shared" si="9"/>
        <v>0.77006944445020054</v>
      </c>
      <c r="R131" s="19" t="b">
        <v>1</v>
      </c>
      <c r="S131" s="19" t="b">
        <v>1</v>
      </c>
    </row>
    <row r="132" spans="1:22">
      <c r="A132" s="17">
        <v>41726.718993055554</v>
      </c>
      <c r="B132" s="18">
        <v>41726.718993055554</v>
      </c>
      <c r="C132" s="17">
        <v>41727.452847222223</v>
      </c>
      <c r="D132" s="18">
        <v>41727.452847222223</v>
      </c>
      <c r="E132" s="19">
        <v>32</v>
      </c>
      <c r="F132" s="57" t="s">
        <v>415</v>
      </c>
      <c r="G132" s="19" t="str">
        <f t="shared" si="10"/>
        <v>14229</v>
      </c>
      <c r="H132" s="19" t="s">
        <v>188</v>
      </c>
      <c r="I132" s="19" t="s">
        <v>189</v>
      </c>
      <c r="J132" s="19" t="s">
        <v>190</v>
      </c>
      <c r="K132" s="19" t="s">
        <v>191</v>
      </c>
      <c r="L132" s="19">
        <v>5241</v>
      </c>
      <c r="M132" s="19" t="str">
        <f t="shared" si="8"/>
        <v>Radio 14229_UnitID_5241</v>
      </c>
      <c r="N132" s="55" t="s">
        <v>416</v>
      </c>
      <c r="O132" s="55"/>
      <c r="P132" s="19" t="s">
        <v>193</v>
      </c>
      <c r="Q132" s="101">
        <f t="shared" si="9"/>
        <v>0.73385416666860692</v>
      </c>
      <c r="R132" s="19" t="b">
        <v>1</v>
      </c>
      <c r="S132" s="19" t="b">
        <v>1</v>
      </c>
    </row>
    <row r="133" spans="1:22">
      <c r="A133" s="17">
        <v>41726.718993055554</v>
      </c>
      <c r="B133" s="18">
        <v>41726.718993055554</v>
      </c>
      <c r="C133" s="17">
        <v>41727.452453703707</v>
      </c>
      <c r="D133" s="18">
        <v>41727.452453703707</v>
      </c>
      <c r="E133" s="19">
        <v>32</v>
      </c>
      <c r="F133" s="57" t="s">
        <v>417</v>
      </c>
      <c r="G133" s="19" t="str">
        <f t="shared" si="10"/>
        <v>15466</v>
      </c>
      <c r="H133" s="19" t="s">
        <v>188</v>
      </c>
      <c r="I133" s="19" t="s">
        <v>189</v>
      </c>
      <c r="J133" s="19" t="s">
        <v>190</v>
      </c>
      <c r="K133" s="19" t="s">
        <v>191</v>
      </c>
      <c r="L133" s="19">
        <v>5231</v>
      </c>
      <c r="M133" s="19" t="str">
        <f t="shared" si="8"/>
        <v>Radio 15466_UnitID_5231</v>
      </c>
      <c r="N133" s="55" t="s">
        <v>416</v>
      </c>
      <c r="O133" s="55" t="s">
        <v>523</v>
      </c>
      <c r="P133" s="19" t="s">
        <v>193</v>
      </c>
      <c r="Q133" s="101">
        <f t="shared" si="9"/>
        <v>0.73346064815268619</v>
      </c>
      <c r="R133" s="19" t="b">
        <v>1</v>
      </c>
      <c r="S133" s="19" t="b">
        <v>1</v>
      </c>
    </row>
    <row r="134" spans="1:22">
      <c r="A134" s="17">
        <v>41726.718993055554</v>
      </c>
      <c r="B134" s="18">
        <v>41726.718993055554</v>
      </c>
      <c r="C134" s="17">
        <v>41727.45212962963</v>
      </c>
      <c r="D134" s="18">
        <v>41727.45212962963</v>
      </c>
      <c r="E134" s="19">
        <v>32</v>
      </c>
      <c r="F134" s="57" t="s">
        <v>418</v>
      </c>
      <c r="G134" s="19" t="str">
        <f t="shared" si="10"/>
        <v>14228</v>
      </c>
      <c r="H134" s="19" t="s">
        <v>188</v>
      </c>
      <c r="I134" s="19" t="s">
        <v>189</v>
      </c>
      <c r="J134" s="19" t="s">
        <v>190</v>
      </c>
      <c r="K134" s="19" t="s">
        <v>191</v>
      </c>
      <c r="L134" s="19">
        <v>5291</v>
      </c>
      <c r="M134" s="19" t="str">
        <f t="shared" si="8"/>
        <v>Radio 14228_UnitID_5291</v>
      </c>
      <c r="N134" s="55" t="s">
        <v>416</v>
      </c>
      <c r="O134" s="110" t="s">
        <v>523</v>
      </c>
      <c r="P134" s="19" t="s">
        <v>193</v>
      </c>
      <c r="Q134" s="101">
        <f t="shared" si="9"/>
        <v>0.7331365740756155</v>
      </c>
      <c r="R134" s="19" t="b">
        <v>1</v>
      </c>
      <c r="S134" s="19" t="b">
        <v>1</v>
      </c>
    </row>
    <row r="135" spans="1:22">
      <c r="A135" s="17">
        <v>41726.718993055554</v>
      </c>
      <c r="B135" s="18">
        <v>41726.718993055554</v>
      </c>
      <c r="C135" s="17">
        <v>41727.459930555553</v>
      </c>
      <c r="D135" s="18">
        <v>41727.459930555553</v>
      </c>
      <c r="E135" s="19">
        <v>32</v>
      </c>
      <c r="F135" s="57" t="s">
        <v>419</v>
      </c>
      <c r="G135" s="19" t="str">
        <f t="shared" si="10"/>
        <v>16020</v>
      </c>
      <c r="H135" s="19" t="s">
        <v>188</v>
      </c>
      <c r="I135" s="19" t="s">
        <v>189</v>
      </c>
      <c r="J135" s="19" t="s">
        <v>190</v>
      </c>
      <c r="K135" s="19" t="s">
        <v>191</v>
      </c>
      <c r="L135" s="19">
        <v>5261</v>
      </c>
      <c r="M135" s="19" t="str">
        <f t="shared" si="8"/>
        <v>Radio 16020_UnitID_5261</v>
      </c>
      <c r="N135" s="55" t="s">
        <v>416</v>
      </c>
      <c r="O135" s="55"/>
      <c r="P135" s="19" t="s">
        <v>193</v>
      </c>
      <c r="Q135" s="101">
        <f t="shared" si="9"/>
        <v>0.74093749999883585</v>
      </c>
      <c r="R135" s="19" t="b">
        <v>1</v>
      </c>
      <c r="S135" s="19" t="b">
        <v>1</v>
      </c>
    </row>
    <row r="136" spans="1:22">
      <c r="A136" s="17">
        <v>41726.718993055554</v>
      </c>
      <c r="B136" s="18">
        <v>41726.718993055554</v>
      </c>
      <c r="C136" s="17">
        <v>41727.464398148149</v>
      </c>
      <c r="D136" s="18">
        <v>41727.464398148149</v>
      </c>
      <c r="E136" s="19">
        <v>32</v>
      </c>
      <c r="F136" s="57" t="s">
        <v>420</v>
      </c>
      <c r="G136" s="19" t="str">
        <f t="shared" si="10"/>
        <v>14185</v>
      </c>
      <c r="H136" s="19" t="s">
        <v>188</v>
      </c>
      <c r="I136" s="19" t="s">
        <v>189</v>
      </c>
      <c r="J136" s="19" t="s">
        <v>190</v>
      </c>
      <c r="K136" s="19" t="s">
        <v>191</v>
      </c>
      <c r="L136" s="19">
        <v>5281</v>
      </c>
      <c r="M136" s="19" t="str">
        <f t="shared" si="8"/>
        <v>Radio 14185_UnitID_5281</v>
      </c>
      <c r="N136" s="55" t="s">
        <v>416</v>
      </c>
      <c r="O136" s="55"/>
      <c r="P136" s="19" t="s">
        <v>193</v>
      </c>
      <c r="Q136" s="101">
        <f t="shared" si="9"/>
        <v>0.74540509259531973</v>
      </c>
      <c r="R136" s="19" t="b">
        <v>1</v>
      </c>
      <c r="S136" s="19" t="b">
        <v>1</v>
      </c>
    </row>
    <row r="137" spans="1:22">
      <c r="A137" s="17">
        <v>41726.718993055554</v>
      </c>
      <c r="B137" s="18">
        <v>41726.718993055554</v>
      </c>
      <c r="C137" s="17">
        <v>41727.460011574076</v>
      </c>
      <c r="D137" s="18">
        <v>41727.460011574076</v>
      </c>
      <c r="E137" s="19">
        <v>32</v>
      </c>
      <c r="F137" s="57" t="s">
        <v>421</v>
      </c>
      <c r="G137" s="19" t="str">
        <f t="shared" si="10"/>
        <v>13908</v>
      </c>
      <c r="H137" s="19" t="s">
        <v>188</v>
      </c>
      <c r="I137" s="19" t="s">
        <v>189</v>
      </c>
      <c r="J137" s="19" t="s">
        <v>190</v>
      </c>
      <c r="K137" s="19" t="s">
        <v>191</v>
      </c>
      <c r="L137" s="19">
        <v>5221</v>
      </c>
      <c r="M137" s="19" t="str">
        <f t="shared" si="8"/>
        <v>Radio 13908_UnitID_5221</v>
      </c>
      <c r="N137" s="55" t="s">
        <v>416</v>
      </c>
      <c r="O137" s="55"/>
      <c r="P137" s="19" t="s">
        <v>204</v>
      </c>
      <c r="Q137" s="101">
        <f t="shared" si="9"/>
        <v>0.7410185185217415</v>
      </c>
      <c r="R137" s="19" t="b">
        <v>1</v>
      </c>
      <c r="S137" s="19" t="b">
        <v>1</v>
      </c>
    </row>
    <row r="138" spans="1:22">
      <c r="A138" s="17">
        <v>41726.718993055554</v>
      </c>
      <c r="B138" s="18">
        <v>41726.718993055554</v>
      </c>
      <c r="C138" s="17">
        <v>41727.81417824074</v>
      </c>
      <c r="D138" s="18">
        <v>41727.81417824074</v>
      </c>
      <c r="E138" s="19">
        <v>32</v>
      </c>
      <c r="F138" s="57" t="s">
        <v>422</v>
      </c>
      <c r="G138" s="19" t="str">
        <f t="shared" si="10"/>
        <v>83785</v>
      </c>
      <c r="H138" s="19" t="s">
        <v>188</v>
      </c>
      <c r="I138" s="19" t="s">
        <v>189</v>
      </c>
      <c r="J138" s="19" t="s">
        <v>190</v>
      </c>
      <c r="K138" s="19" t="s">
        <v>191</v>
      </c>
      <c r="L138" s="19">
        <v>5222</v>
      </c>
      <c r="M138" s="19" t="str">
        <f t="shared" si="8"/>
        <v>Radio 83785_UnitID_5222</v>
      </c>
      <c r="N138" s="55" t="s">
        <v>416</v>
      </c>
      <c r="O138" s="55" t="s">
        <v>524</v>
      </c>
      <c r="P138" s="19" t="s">
        <v>193</v>
      </c>
      <c r="Q138" s="101">
        <f t="shared" si="9"/>
        <v>1.0951851851859828</v>
      </c>
      <c r="R138" s="19" t="b">
        <v>1</v>
      </c>
      <c r="S138" s="19" t="b">
        <v>1</v>
      </c>
    </row>
    <row r="139" spans="1:22">
      <c r="A139" s="17">
        <v>41726.718993055554</v>
      </c>
      <c r="B139" s="18">
        <v>41726.718993055554</v>
      </c>
      <c r="C139" s="17">
        <v>41727.458865740744</v>
      </c>
      <c r="D139" s="18">
        <v>41727.458865740744</v>
      </c>
      <c r="F139" s="57" t="s">
        <v>423</v>
      </c>
      <c r="G139" s="19" t="str">
        <f t="shared" si="10"/>
        <v>14224</v>
      </c>
      <c r="H139" s="19" t="s">
        <v>188</v>
      </c>
      <c r="I139" s="19" t="s">
        <v>189</v>
      </c>
      <c r="J139" s="19" t="s">
        <v>190</v>
      </c>
      <c r="K139" s="19" t="s">
        <v>191</v>
      </c>
      <c r="L139" s="19">
        <v>5271</v>
      </c>
      <c r="M139" s="19" t="str">
        <f t="shared" si="8"/>
        <v>Radio 14224_UnitID_5271</v>
      </c>
      <c r="N139" s="55" t="s">
        <v>416</v>
      </c>
      <c r="O139" s="55"/>
      <c r="P139" s="19" t="s">
        <v>424</v>
      </c>
      <c r="Q139" s="101">
        <f t="shared" si="9"/>
        <v>0.73987268518976634</v>
      </c>
      <c r="R139" s="19" t="b">
        <v>1</v>
      </c>
      <c r="S139" s="19" t="b">
        <v>1</v>
      </c>
    </row>
    <row r="140" spans="1:22">
      <c r="A140" s="17">
        <v>41726.718993055554</v>
      </c>
      <c r="B140" s="18">
        <v>41726.718993055554</v>
      </c>
      <c r="C140" s="17">
        <v>41727.457199074073</v>
      </c>
      <c r="D140" s="18">
        <v>41727.457199074073</v>
      </c>
      <c r="E140" s="19">
        <v>32</v>
      </c>
      <c r="F140" s="57" t="s">
        <v>425</v>
      </c>
      <c r="G140" s="19" t="str">
        <f t="shared" si="10"/>
        <v>15165</v>
      </c>
      <c r="H140" s="19" t="s">
        <v>188</v>
      </c>
      <c r="I140" s="19" t="s">
        <v>189</v>
      </c>
      <c r="J140" s="19" t="s">
        <v>190</v>
      </c>
      <c r="K140" s="19" t="s">
        <v>191</v>
      </c>
      <c r="L140" s="19">
        <v>5251</v>
      </c>
      <c r="M140" s="19" t="str">
        <f t="shared" si="8"/>
        <v>Radio 15165_UnitID_5251</v>
      </c>
      <c r="N140" s="55" t="s">
        <v>416</v>
      </c>
      <c r="O140" s="55"/>
      <c r="P140" s="19" t="s">
        <v>193</v>
      </c>
      <c r="Q140" s="101">
        <f t="shared" si="9"/>
        <v>0.73820601851912215</v>
      </c>
      <c r="R140" s="19" t="b">
        <v>1</v>
      </c>
      <c r="S140" s="19" t="b">
        <v>1</v>
      </c>
    </row>
    <row r="141" spans="1:22">
      <c r="A141" s="17">
        <v>41726.718993055554</v>
      </c>
      <c r="B141" s="18">
        <v>41726.718993055554</v>
      </c>
      <c r="C141" s="17">
        <v>41727.464490740742</v>
      </c>
      <c r="D141" s="18">
        <v>41727.464490740742</v>
      </c>
      <c r="E141" s="19">
        <v>32</v>
      </c>
      <c r="F141" s="57" t="s">
        <v>426</v>
      </c>
      <c r="G141" s="19" t="str">
        <f t="shared" si="10"/>
        <v>95098</v>
      </c>
      <c r="H141" s="19" t="s">
        <v>427</v>
      </c>
      <c r="I141" s="19" t="s">
        <v>187</v>
      </c>
      <c r="J141" s="19" t="s">
        <v>206</v>
      </c>
      <c r="K141" s="19" t="s">
        <v>226</v>
      </c>
      <c r="L141" s="19">
        <v>5211</v>
      </c>
      <c r="M141" s="19" t="str">
        <f t="shared" si="8"/>
        <v>Radio 95098_UnitID_5211</v>
      </c>
      <c r="N141" s="55" t="s">
        <v>416</v>
      </c>
      <c r="O141" s="55"/>
      <c r="P141" s="19" t="s">
        <v>204</v>
      </c>
      <c r="Q141" s="101">
        <f t="shared" si="9"/>
        <v>0.74549768518772908</v>
      </c>
      <c r="R141" s="19" t="b">
        <v>1</v>
      </c>
      <c r="S141" s="19" t="b">
        <v>1</v>
      </c>
    </row>
    <row r="142" spans="1:22" ht="30">
      <c r="A142" s="17">
        <v>41726.766168981485</v>
      </c>
      <c r="B142" s="18">
        <v>41726.766168981485</v>
      </c>
      <c r="C142" s="17">
        <v>41726.768171296295</v>
      </c>
      <c r="D142" s="18">
        <v>41726.768171296295</v>
      </c>
      <c r="E142" s="19">
        <v>10</v>
      </c>
      <c r="F142" s="57" t="s">
        <v>277</v>
      </c>
      <c r="G142" s="19" t="str">
        <f t="shared" si="10"/>
        <v>15459</v>
      </c>
      <c r="H142" s="19" t="s">
        <v>188</v>
      </c>
      <c r="I142" s="19" t="s">
        <v>189</v>
      </c>
      <c r="J142" s="19" t="s">
        <v>190</v>
      </c>
      <c r="K142" s="19" t="s">
        <v>191</v>
      </c>
      <c r="L142" s="19">
        <v>2811</v>
      </c>
      <c r="M142" s="19" t="str">
        <f t="shared" si="8"/>
        <v>Radio 15459_UnitID_2811</v>
      </c>
      <c r="N142" s="55" t="s">
        <v>278</v>
      </c>
      <c r="O142" s="55" t="s">
        <v>525</v>
      </c>
      <c r="P142" s="19" t="s">
        <v>279</v>
      </c>
      <c r="Q142" s="101">
        <f t="shared" si="9"/>
        <v>2.002314809942618E-3</v>
      </c>
      <c r="R142" s="19" t="b">
        <v>1</v>
      </c>
      <c r="S142" s="19" t="b">
        <v>1</v>
      </c>
      <c r="V142" s="55"/>
    </row>
    <row r="143" spans="1:22">
      <c r="A143" s="17">
        <v>41727.357048611113</v>
      </c>
      <c r="B143" s="18">
        <v>41727.357048611113</v>
      </c>
      <c r="C143" s="17">
        <v>41727.483148148145</v>
      </c>
      <c r="D143" s="18">
        <v>41727.483148148145</v>
      </c>
      <c r="E143" s="19">
        <v>33</v>
      </c>
      <c r="F143" s="57" t="s">
        <v>526</v>
      </c>
      <c r="G143" s="19" t="str">
        <f t="shared" si="10"/>
        <v>15930</v>
      </c>
      <c r="H143" s="19" t="s">
        <v>188</v>
      </c>
      <c r="I143" s="19" t="s">
        <v>189</v>
      </c>
      <c r="J143" s="19" t="s">
        <v>190</v>
      </c>
      <c r="K143" s="19" t="s">
        <v>191</v>
      </c>
      <c r="L143" s="19">
        <v>6111</v>
      </c>
      <c r="M143" s="19" t="str">
        <f t="shared" si="8"/>
        <v>Radio 15930_UnitID_6111</v>
      </c>
      <c r="N143" s="55" t="s">
        <v>527</v>
      </c>
      <c r="O143" s="55"/>
      <c r="P143" s="19" t="s">
        <v>241</v>
      </c>
      <c r="Q143" s="101">
        <f t="shared" si="9"/>
        <v>0.1260995370321325</v>
      </c>
      <c r="R143" s="19" t="b">
        <v>1</v>
      </c>
      <c r="S143" s="19" t="b">
        <v>1</v>
      </c>
    </row>
    <row r="144" spans="1:22">
      <c r="A144" s="17">
        <v>41727.357048611113</v>
      </c>
      <c r="B144" s="18">
        <v>41727.357048611113</v>
      </c>
      <c r="C144" s="17">
        <v>41727.490925925929</v>
      </c>
      <c r="D144" s="18">
        <v>41727.490925925929</v>
      </c>
      <c r="E144" s="19">
        <v>33</v>
      </c>
      <c r="F144" s="57" t="s">
        <v>528</v>
      </c>
      <c r="G144" s="19" t="str">
        <f t="shared" si="10"/>
        <v>15339</v>
      </c>
      <c r="H144" s="19" t="s">
        <v>188</v>
      </c>
      <c r="I144" s="19" t="s">
        <v>189</v>
      </c>
      <c r="J144" s="19" t="s">
        <v>190</v>
      </c>
      <c r="K144" s="19" t="s">
        <v>191</v>
      </c>
      <c r="L144" s="19">
        <v>6121</v>
      </c>
      <c r="M144" s="19" t="str">
        <f t="shared" si="8"/>
        <v>Radio 15339_UnitID_6121</v>
      </c>
      <c r="N144" s="55" t="s">
        <v>527</v>
      </c>
      <c r="O144" s="55"/>
      <c r="P144" s="19" t="s">
        <v>221</v>
      </c>
      <c r="Q144" s="101">
        <f t="shared" si="9"/>
        <v>0.13387731481634546</v>
      </c>
      <c r="R144" s="19" t="b">
        <v>1</v>
      </c>
      <c r="S144" s="19" t="b">
        <v>1</v>
      </c>
    </row>
    <row r="145" spans="1:22">
      <c r="A145" s="17">
        <v>41727.357048611113</v>
      </c>
      <c r="B145" s="18">
        <v>41727.357048611113</v>
      </c>
      <c r="C145" s="17">
        <v>41727.493946759256</v>
      </c>
      <c r="D145" s="18">
        <v>41727.493946759256</v>
      </c>
      <c r="E145" s="19">
        <v>33</v>
      </c>
      <c r="F145" s="57" t="s">
        <v>529</v>
      </c>
      <c r="G145" s="19" t="str">
        <f t="shared" si="10"/>
        <v>83840</v>
      </c>
      <c r="H145" s="19" t="s">
        <v>188</v>
      </c>
      <c r="I145" s="19" t="s">
        <v>189</v>
      </c>
      <c r="J145" s="19" t="s">
        <v>190</v>
      </c>
      <c r="K145" s="19" t="s">
        <v>191</v>
      </c>
      <c r="L145" s="19">
        <v>6161</v>
      </c>
      <c r="M145" s="19" t="str">
        <f t="shared" si="8"/>
        <v>Radio 83840_UnitID_6161</v>
      </c>
      <c r="N145" s="55" t="s">
        <v>527</v>
      </c>
      <c r="O145" s="55" t="s">
        <v>523</v>
      </c>
      <c r="P145" s="19" t="s">
        <v>193</v>
      </c>
      <c r="Q145" s="101">
        <f t="shared" si="9"/>
        <v>0.13689814814279089</v>
      </c>
      <c r="R145" s="19" t="b">
        <v>1</v>
      </c>
      <c r="S145" s="19" t="b">
        <v>1</v>
      </c>
    </row>
    <row r="146" spans="1:22" ht="30">
      <c r="A146" s="17">
        <v>41727.357048611113</v>
      </c>
      <c r="B146" s="18">
        <v>41727.357048611113</v>
      </c>
      <c r="C146" s="17">
        <v>41727.491388888891</v>
      </c>
      <c r="D146" s="18">
        <v>41727.491388888891</v>
      </c>
      <c r="E146" s="19">
        <v>33</v>
      </c>
      <c r="F146" s="57" t="s">
        <v>530</v>
      </c>
      <c r="G146" s="19" t="str">
        <f t="shared" si="10"/>
        <v>13197</v>
      </c>
      <c r="H146" s="19" t="s">
        <v>188</v>
      </c>
      <c r="I146" s="19" t="s">
        <v>189</v>
      </c>
      <c r="J146" s="19" t="s">
        <v>190</v>
      </c>
      <c r="K146" s="19" t="s">
        <v>191</v>
      </c>
      <c r="L146" s="19">
        <v>6131</v>
      </c>
      <c r="M146" s="19" t="str">
        <f t="shared" si="8"/>
        <v>Radio 13197_UnitID_6131</v>
      </c>
      <c r="N146" s="55" t="s">
        <v>527</v>
      </c>
      <c r="O146" s="55"/>
      <c r="P146" s="19" t="s">
        <v>204</v>
      </c>
      <c r="Q146" s="101">
        <f t="shared" si="9"/>
        <v>0.13434027777839219</v>
      </c>
      <c r="R146" s="19" t="b">
        <v>1</v>
      </c>
      <c r="S146" s="19" t="b">
        <v>1</v>
      </c>
      <c r="V146" s="55" t="s">
        <v>531</v>
      </c>
    </row>
    <row r="147" spans="1:22">
      <c r="A147" s="17">
        <v>41727.357048611113</v>
      </c>
      <c r="B147" s="18">
        <v>41727.357048611113</v>
      </c>
      <c r="C147" s="17">
        <v>41727.490173611113</v>
      </c>
      <c r="D147" s="18">
        <v>41727.490173611113</v>
      </c>
      <c r="E147" s="19">
        <v>33</v>
      </c>
      <c r="F147" s="57" t="s">
        <v>532</v>
      </c>
      <c r="G147" s="19" t="str">
        <f t="shared" si="10"/>
        <v>15124</v>
      </c>
      <c r="H147" s="19" t="s">
        <v>188</v>
      </c>
      <c r="I147" s="19" t="s">
        <v>189</v>
      </c>
      <c r="J147" s="19" t="s">
        <v>190</v>
      </c>
      <c r="K147" s="19" t="s">
        <v>191</v>
      </c>
      <c r="L147" s="19">
        <v>6151</v>
      </c>
      <c r="M147" s="19" t="str">
        <f t="shared" si="8"/>
        <v>Radio 15124_UnitID_6151</v>
      </c>
      <c r="N147" s="55" t="s">
        <v>527</v>
      </c>
      <c r="O147" s="55"/>
      <c r="P147" s="19" t="s">
        <v>204</v>
      </c>
      <c r="Q147" s="101">
        <f t="shared" si="9"/>
        <v>0.13312500000029104</v>
      </c>
      <c r="R147" s="19" t="b">
        <v>1</v>
      </c>
      <c r="S147" s="19" t="b">
        <v>1</v>
      </c>
    </row>
    <row r="148" spans="1:22">
      <c r="A148" s="17">
        <v>41727.357048611113</v>
      </c>
      <c r="B148" s="18">
        <v>41727.357048611113</v>
      </c>
      <c r="C148" s="17">
        <v>41727.482048611113</v>
      </c>
      <c r="D148" s="18">
        <v>41727.482048611113</v>
      </c>
      <c r="E148" s="19">
        <v>33</v>
      </c>
      <c r="F148" s="57" t="s">
        <v>533</v>
      </c>
      <c r="G148" s="19" t="str">
        <f t="shared" si="10"/>
        <v>13352</v>
      </c>
      <c r="H148" s="19" t="s">
        <v>188</v>
      </c>
      <c r="I148" s="19" t="s">
        <v>189</v>
      </c>
      <c r="J148" s="19" t="s">
        <v>190</v>
      </c>
      <c r="K148" s="19" t="s">
        <v>191</v>
      </c>
      <c r="L148" s="19">
        <v>6141</v>
      </c>
      <c r="M148" s="19" t="str">
        <f t="shared" si="8"/>
        <v>Radio 13352_UnitID_6141</v>
      </c>
      <c r="N148" s="55" t="s">
        <v>527</v>
      </c>
      <c r="O148" s="55" t="s">
        <v>534</v>
      </c>
      <c r="P148" s="19" t="s">
        <v>193</v>
      </c>
      <c r="Q148" s="101">
        <f t="shared" si="9"/>
        <v>0.125</v>
      </c>
      <c r="R148" s="19" t="b">
        <v>1</v>
      </c>
      <c r="S148" s="19" t="b">
        <v>1</v>
      </c>
    </row>
    <row r="149" spans="1:22">
      <c r="A149" s="17">
        <v>41727.381967592592</v>
      </c>
      <c r="B149" s="18">
        <v>41727.381967592592</v>
      </c>
      <c r="C149" s="17">
        <v>41727.537615740737</v>
      </c>
      <c r="D149" s="18">
        <v>41727.537615740737</v>
      </c>
      <c r="E149" s="19">
        <v>34</v>
      </c>
      <c r="F149" s="57" t="s">
        <v>535</v>
      </c>
      <c r="G149" s="19" t="str">
        <f t="shared" si="10"/>
        <v>13575</v>
      </c>
      <c r="H149" s="19" t="s">
        <v>188</v>
      </c>
      <c r="I149" s="19" t="s">
        <v>189</v>
      </c>
      <c r="J149" s="19" t="s">
        <v>190</v>
      </c>
      <c r="K149" s="19" t="s">
        <v>191</v>
      </c>
      <c r="L149" s="19">
        <v>5931</v>
      </c>
      <c r="M149" s="19" t="str">
        <f t="shared" si="8"/>
        <v>Radio 13575_UnitID_5931</v>
      </c>
      <c r="N149" s="55" t="s">
        <v>536</v>
      </c>
      <c r="O149" s="55"/>
      <c r="P149" s="19" t="s">
        <v>279</v>
      </c>
      <c r="Q149" s="101">
        <f t="shared" si="9"/>
        <v>0.15564814814570127</v>
      </c>
      <c r="R149" s="19" t="b">
        <v>1</v>
      </c>
      <c r="S149" s="19" t="b">
        <v>1</v>
      </c>
    </row>
    <row r="150" spans="1:22">
      <c r="A150" s="17">
        <v>41727.381967592592</v>
      </c>
      <c r="B150" s="18">
        <v>41727.381967592592</v>
      </c>
      <c r="C150" s="17">
        <v>41727.536527777775</v>
      </c>
      <c r="D150" s="18">
        <v>41727.536527777775</v>
      </c>
      <c r="E150" s="19">
        <v>34</v>
      </c>
      <c r="F150" s="57" t="s">
        <v>537</v>
      </c>
      <c r="G150" s="19" t="str">
        <f t="shared" si="10"/>
        <v>13888</v>
      </c>
      <c r="H150" s="19" t="s">
        <v>188</v>
      </c>
      <c r="I150" s="19" t="s">
        <v>189</v>
      </c>
      <c r="J150" s="19" t="s">
        <v>190</v>
      </c>
      <c r="K150" s="19" t="s">
        <v>191</v>
      </c>
      <c r="L150" s="19">
        <v>5941</v>
      </c>
      <c r="M150" s="19" t="str">
        <f t="shared" si="8"/>
        <v>Radio 13888_UnitID_5941</v>
      </c>
      <c r="N150" s="55" t="s">
        <v>536</v>
      </c>
      <c r="O150" s="55"/>
      <c r="P150" s="19" t="s">
        <v>538</v>
      </c>
      <c r="Q150" s="101">
        <f t="shared" si="9"/>
        <v>0.15456018518307246</v>
      </c>
      <c r="R150" s="19" t="b">
        <v>1</v>
      </c>
      <c r="S150" s="19" t="b">
        <v>1</v>
      </c>
    </row>
    <row r="151" spans="1:22">
      <c r="A151" s="17">
        <v>41727.381967592592</v>
      </c>
      <c r="B151" s="18">
        <v>41727.381967592592</v>
      </c>
      <c r="C151" s="17">
        <v>41727.535567129627</v>
      </c>
      <c r="D151" s="18">
        <v>41727.535567129627</v>
      </c>
      <c r="E151" s="19">
        <v>34</v>
      </c>
      <c r="F151" s="57" t="s">
        <v>539</v>
      </c>
      <c r="G151" s="19" t="str">
        <f t="shared" si="10"/>
        <v>15598</v>
      </c>
      <c r="H151" s="19" t="s">
        <v>188</v>
      </c>
      <c r="I151" s="19" t="s">
        <v>189</v>
      </c>
      <c r="J151" s="19" t="s">
        <v>190</v>
      </c>
      <c r="K151" s="19" t="s">
        <v>191</v>
      </c>
      <c r="L151" s="19">
        <v>5961</v>
      </c>
      <c r="M151" s="19" t="str">
        <f t="shared" si="8"/>
        <v>Radio 15598_UnitID_5961</v>
      </c>
      <c r="N151" s="55" t="s">
        <v>536</v>
      </c>
      <c r="O151" s="55"/>
      <c r="P151" s="19" t="s">
        <v>204</v>
      </c>
      <c r="Q151" s="101">
        <f t="shared" si="9"/>
        <v>0.153599537035916</v>
      </c>
      <c r="R151" s="19" t="b">
        <v>1</v>
      </c>
      <c r="S151" s="19" t="b">
        <v>1</v>
      </c>
    </row>
    <row r="152" spans="1:22">
      <c r="A152" s="17">
        <v>41727.381967592592</v>
      </c>
      <c r="B152" s="18">
        <v>41727.381967592592</v>
      </c>
      <c r="C152" s="17">
        <v>41727.536111111112</v>
      </c>
      <c r="D152" s="18">
        <v>41727.536111111112</v>
      </c>
      <c r="E152" s="19">
        <v>34</v>
      </c>
      <c r="F152" s="57" t="s">
        <v>540</v>
      </c>
      <c r="G152" s="19" t="str">
        <f t="shared" si="10"/>
        <v>15941</v>
      </c>
      <c r="H152" s="19" t="s">
        <v>188</v>
      </c>
      <c r="I152" s="19" t="s">
        <v>189</v>
      </c>
      <c r="J152" s="19" t="s">
        <v>190</v>
      </c>
      <c r="K152" s="19" t="s">
        <v>191</v>
      </c>
      <c r="L152" s="19">
        <v>5921</v>
      </c>
      <c r="M152" s="19" t="str">
        <f t="shared" si="8"/>
        <v>Radio 15941_UnitID_5921</v>
      </c>
      <c r="N152" s="55" t="s">
        <v>536</v>
      </c>
      <c r="O152" s="55"/>
      <c r="P152" s="19" t="s">
        <v>241</v>
      </c>
      <c r="Q152" s="101">
        <f t="shared" si="9"/>
        <v>0.15414351852086838</v>
      </c>
      <c r="R152" s="19" t="b">
        <v>1</v>
      </c>
      <c r="S152" s="19" t="b">
        <v>1</v>
      </c>
    </row>
    <row r="153" spans="1:22">
      <c r="A153" s="17">
        <v>41727.381967592592</v>
      </c>
      <c r="B153" s="18">
        <v>41727.381967592592</v>
      </c>
      <c r="C153" s="17">
        <v>41727.53565972222</v>
      </c>
      <c r="D153" s="18">
        <v>41727.53565972222</v>
      </c>
      <c r="E153" s="19">
        <v>34</v>
      </c>
      <c r="F153" s="57" t="s">
        <v>541</v>
      </c>
      <c r="G153" s="19" t="str">
        <f t="shared" si="10"/>
        <v>15856</v>
      </c>
      <c r="H153" s="19" t="s">
        <v>188</v>
      </c>
      <c r="I153" s="19" t="s">
        <v>189</v>
      </c>
      <c r="J153" s="19" t="s">
        <v>190</v>
      </c>
      <c r="K153" s="19" t="s">
        <v>191</v>
      </c>
      <c r="L153" s="19">
        <v>5951</v>
      </c>
      <c r="M153" s="19" t="str">
        <f t="shared" si="8"/>
        <v>Radio 15856_UnitID_5951</v>
      </c>
      <c r="N153" s="55" t="s">
        <v>536</v>
      </c>
      <c r="O153" s="55"/>
      <c r="P153" s="19" t="s">
        <v>241</v>
      </c>
      <c r="Q153" s="101">
        <f t="shared" si="9"/>
        <v>0.15369212962832535</v>
      </c>
      <c r="R153" s="19" t="b">
        <v>1</v>
      </c>
      <c r="S153" s="19" t="b">
        <v>1</v>
      </c>
    </row>
    <row r="154" spans="1:22">
      <c r="A154" s="17">
        <v>41727.381967592592</v>
      </c>
      <c r="B154" s="18">
        <v>41727.381967592592</v>
      </c>
      <c r="C154" s="17">
        <v>41727.536944444444</v>
      </c>
      <c r="D154" s="18">
        <v>41727.536944444444</v>
      </c>
      <c r="E154" s="19">
        <v>34</v>
      </c>
      <c r="F154" s="57" t="s">
        <v>542</v>
      </c>
      <c r="G154" s="19" t="str">
        <f t="shared" si="10"/>
        <v>13793</v>
      </c>
      <c r="H154" s="19" t="s">
        <v>188</v>
      </c>
      <c r="I154" s="19" t="s">
        <v>189</v>
      </c>
      <c r="J154" s="19" t="s">
        <v>190</v>
      </c>
      <c r="K154" s="19" t="s">
        <v>191</v>
      </c>
      <c r="L154" s="19">
        <v>5911</v>
      </c>
      <c r="M154" s="19" t="str">
        <f t="shared" si="8"/>
        <v>Radio 13793_UnitID_5911</v>
      </c>
      <c r="N154" s="55" t="s">
        <v>536</v>
      </c>
      <c r="O154" s="55"/>
      <c r="P154" s="19" t="s">
        <v>543</v>
      </c>
      <c r="Q154" s="101">
        <f t="shared" si="9"/>
        <v>0.1549768518525525</v>
      </c>
      <c r="R154" s="19" t="b">
        <v>1</v>
      </c>
      <c r="S154" s="19" t="b">
        <v>1</v>
      </c>
    </row>
    <row r="155" spans="1:22" ht="30">
      <c r="A155" s="17">
        <v>41727.381967592592</v>
      </c>
      <c r="B155" s="18">
        <v>41727.381967592592</v>
      </c>
      <c r="C155" s="17">
        <v>41727.822268518517</v>
      </c>
      <c r="D155" s="18">
        <v>41727.822268518517</v>
      </c>
      <c r="E155" s="19">
        <v>35</v>
      </c>
      <c r="F155" s="57" t="s">
        <v>544</v>
      </c>
      <c r="G155" s="19" t="str">
        <f t="shared" si="10"/>
        <v>85069</v>
      </c>
      <c r="H155" s="19" t="s">
        <v>196</v>
      </c>
      <c r="I155" s="19" t="s">
        <v>187</v>
      </c>
      <c r="J155" s="19" t="s">
        <v>206</v>
      </c>
      <c r="K155" s="19" t="s">
        <v>226</v>
      </c>
      <c r="L155" s="19">
        <v>4031</v>
      </c>
      <c r="M155" s="19" t="str">
        <f t="shared" si="8"/>
        <v>Radio 85069_UnitID_4031</v>
      </c>
      <c r="N155" s="55" t="s">
        <v>545</v>
      </c>
      <c r="O155" s="55" t="s">
        <v>524</v>
      </c>
      <c r="P155" s="19" t="s">
        <v>204</v>
      </c>
      <c r="Q155" s="101">
        <f t="shared" si="9"/>
        <v>0.44030092592583969</v>
      </c>
      <c r="R155" s="19" t="b">
        <v>1</v>
      </c>
      <c r="S155" s="19" t="b">
        <v>1</v>
      </c>
    </row>
    <row r="156" spans="1:22" ht="30">
      <c r="A156" s="17">
        <v>41727.381967592592</v>
      </c>
      <c r="B156" s="18">
        <v>41727.381967592592</v>
      </c>
      <c r="C156" s="17">
        <v>41727.649826388886</v>
      </c>
      <c r="D156" s="18">
        <v>41727.649826388886</v>
      </c>
      <c r="E156" s="19">
        <v>35</v>
      </c>
      <c r="F156" s="57" t="s">
        <v>546</v>
      </c>
      <c r="G156" s="19" t="str">
        <f t="shared" si="10"/>
        <v>87768</v>
      </c>
      <c r="H156" s="19" t="s">
        <v>196</v>
      </c>
      <c r="I156" s="19" t="s">
        <v>187</v>
      </c>
      <c r="J156" s="19" t="s">
        <v>206</v>
      </c>
      <c r="K156" s="19" t="s">
        <v>226</v>
      </c>
      <c r="L156" s="19">
        <v>4071</v>
      </c>
      <c r="M156" s="19" t="str">
        <f t="shared" si="8"/>
        <v>Radio 87768_UnitID_4071</v>
      </c>
      <c r="N156" s="55" t="s">
        <v>545</v>
      </c>
      <c r="O156" s="55"/>
      <c r="P156" s="19" t="s">
        <v>547</v>
      </c>
      <c r="Q156" s="101">
        <f t="shared" si="9"/>
        <v>0.26785879629460396</v>
      </c>
      <c r="R156" s="19" t="b">
        <v>1</v>
      </c>
      <c r="S156" s="19" t="b">
        <v>1</v>
      </c>
    </row>
    <row r="157" spans="1:22" ht="30">
      <c r="A157" s="17">
        <v>41727.381967592592</v>
      </c>
      <c r="B157" s="18">
        <v>41727.381967592592</v>
      </c>
      <c r="C157" s="17">
        <v>41727.649907407409</v>
      </c>
      <c r="D157" s="18">
        <v>41727.649907407409</v>
      </c>
      <c r="E157" s="19">
        <v>35</v>
      </c>
      <c r="F157" s="57" t="s">
        <v>548</v>
      </c>
      <c r="G157" s="19" t="str">
        <f t="shared" si="10"/>
        <v>62860</v>
      </c>
      <c r="H157" s="19" t="s">
        <v>196</v>
      </c>
      <c r="I157" s="19" t="s">
        <v>187</v>
      </c>
      <c r="J157" s="19" t="s">
        <v>206</v>
      </c>
      <c r="K157" s="19" t="s">
        <v>226</v>
      </c>
      <c r="L157" s="19">
        <v>4011</v>
      </c>
      <c r="M157" s="19" t="str">
        <f t="shared" si="8"/>
        <v>Radio 62860_UnitID_4011</v>
      </c>
      <c r="N157" s="55" t="s">
        <v>545</v>
      </c>
      <c r="O157" s="55"/>
      <c r="P157" s="19" t="s">
        <v>204</v>
      </c>
      <c r="Q157" s="101">
        <f t="shared" si="9"/>
        <v>0.26793981481750961</v>
      </c>
      <c r="R157" s="19" t="b">
        <v>1</v>
      </c>
      <c r="S157" s="19" t="b">
        <v>1</v>
      </c>
    </row>
    <row r="158" spans="1:22" ht="30">
      <c r="A158" s="17">
        <v>41727.381967592592</v>
      </c>
      <c r="B158" s="18">
        <v>41727.381967592592</v>
      </c>
      <c r="C158" s="17">
        <v>41727.649710648147</v>
      </c>
      <c r="D158" s="18">
        <v>41727.649710648147</v>
      </c>
      <c r="E158" s="19">
        <v>35</v>
      </c>
      <c r="F158" s="57" t="s">
        <v>549</v>
      </c>
      <c r="G158" s="19" t="str">
        <f t="shared" si="10"/>
        <v>62670</v>
      </c>
      <c r="H158" s="19" t="s">
        <v>196</v>
      </c>
      <c r="I158" s="19" t="s">
        <v>187</v>
      </c>
      <c r="J158" s="19" t="s">
        <v>206</v>
      </c>
      <c r="K158" s="19" t="s">
        <v>226</v>
      </c>
      <c r="L158" s="19">
        <v>4051</v>
      </c>
      <c r="M158" s="19" t="str">
        <f t="shared" si="8"/>
        <v>Radio 62670_UnitID_4051</v>
      </c>
      <c r="N158" s="55" t="s">
        <v>545</v>
      </c>
      <c r="O158" s="55"/>
      <c r="P158" s="19" t="s">
        <v>241</v>
      </c>
      <c r="Q158" s="101">
        <f t="shared" si="9"/>
        <v>0.26774305555591127</v>
      </c>
      <c r="R158" s="19" t="b">
        <v>1</v>
      </c>
      <c r="S158" s="19" t="b">
        <v>1</v>
      </c>
    </row>
    <row r="159" spans="1:22" ht="30">
      <c r="A159" s="17">
        <v>41727.381967592592</v>
      </c>
      <c r="B159" s="18">
        <v>41727.381967592592</v>
      </c>
      <c r="C159" s="17">
        <v>41727.582743055558</v>
      </c>
      <c r="D159" s="18">
        <v>41727.582743055558</v>
      </c>
      <c r="E159" s="19">
        <v>35</v>
      </c>
      <c r="F159" s="57" t="s">
        <v>550</v>
      </c>
      <c r="G159" s="19" t="str">
        <f t="shared" si="10"/>
        <v>14179</v>
      </c>
      <c r="H159" s="19" t="s">
        <v>188</v>
      </c>
      <c r="I159" s="19" t="s">
        <v>189</v>
      </c>
      <c r="J159" s="19" t="s">
        <v>190</v>
      </c>
      <c r="K159" s="19" t="s">
        <v>191</v>
      </c>
      <c r="L159" s="19">
        <v>4041</v>
      </c>
      <c r="M159" s="19" t="str">
        <f t="shared" si="8"/>
        <v>Radio 14179_UnitID_4041</v>
      </c>
      <c r="N159" s="55" t="s">
        <v>545</v>
      </c>
      <c r="O159" s="55"/>
      <c r="P159" s="19" t="s">
        <v>193</v>
      </c>
      <c r="Q159" s="101">
        <f t="shared" si="9"/>
        <v>0.20077546296670334</v>
      </c>
      <c r="R159" s="19" t="b">
        <v>1</v>
      </c>
      <c r="S159" s="19" t="b">
        <v>1</v>
      </c>
    </row>
    <row r="160" spans="1:22">
      <c r="A160" s="17">
        <v>41727.40730324074</v>
      </c>
      <c r="B160" s="18">
        <v>41727.40730324074</v>
      </c>
      <c r="C160" s="17">
        <v>41727.572881944441</v>
      </c>
      <c r="D160" s="18">
        <v>41727.572881944441</v>
      </c>
      <c r="E160" s="19">
        <v>36</v>
      </c>
      <c r="F160" s="57" t="s">
        <v>551</v>
      </c>
      <c r="G160" s="19" t="str">
        <f t="shared" si="10"/>
        <v>15125</v>
      </c>
      <c r="H160" s="19" t="s">
        <v>188</v>
      </c>
      <c r="I160" s="19" t="s">
        <v>189</v>
      </c>
      <c r="J160" s="19" t="s">
        <v>190</v>
      </c>
      <c r="K160" s="19" t="s">
        <v>191</v>
      </c>
      <c r="L160" s="19">
        <v>4561</v>
      </c>
      <c r="M160" s="19" t="str">
        <f t="shared" si="8"/>
        <v>Radio 15125_UnitID_4561</v>
      </c>
      <c r="N160" s="55" t="s">
        <v>552</v>
      </c>
      <c r="O160" s="55"/>
      <c r="P160" s="19" t="s">
        <v>204</v>
      </c>
      <c r="Q160" s="101">
        <f t="shared" si="9"/>
        <v>0.16557870370161254</v>
      </c>
      <c r="R160" s="19" t="b">
        <v>1</v>
      </c>
      <c r="S160" s="19" t="b">
        <v>1</v>
      </c>
    </row>
    <row r="161" spans="1:19">
      <c r="A161" s="17">
        <v>41727.40730324074</v>
      </c>
      <c r="B161" s="18">
        <v>41727.40730324074</v>
      </c>
      <c r="C161" s="17">
        <v>41727.581759259258</v>
      </c>
      <c r="D161" s="18">
        <v>41727.581759259258</v>
      </c>
      <c r="E161" s="19">
        <v>36</v>
      </c>
      <c r="F161" s="57" t="s">
        <v>553</v>
      </c>
      <c r="G161" s="19" t="str">
        <f t="shared" si="10"/>
        <v>87753</v>
      </c>
      <c r="H161" s="19" t="s">
        <v>196</v>
      </c>
      <c r="I161" s="19" t="s">
        <v>187</v>
      </c>
      <c r="J161" s="19" t="s">
        <v>206</v>
      </c>
      <c r="K161" s="19" t="s">
        <v>226</v>
      </c>
      <c r="L161" s="19">
        <v>4551</v>
      </c>
      <c r="M161" s="19" t="str">
        <f t="shared" si="8"/>
        <v>Radio 87753_UnitID_4551</v>
      </c>
      <c r="N161" s="55" t="s">
        <v>552</v>
      </c>
      <c r="O161" s="55"/>
      <c r="P161" s="19" t="s">
        <v>193</v>
      </c>
      <c r="Q161" s="101">
        <f t="shared" si="9"/>
        <v>0.174456018517958</v>
      </c>
      <c r="R161" s="19" t="b">
        <v>1</v>
      </c>
      <c r="S161" s="19" t="b">
        <v>1</v>
      </c>
    </row>
    <row r="162" spans="1:19">
      <c r="A162" s="17">
        <v>41727.40730324074</v>
      </c>
      <c r="B162" s="18">
        <v>41727.40730324074</v>
      </c>
      <c r="C162" s="17">
        <v>41727.632222222222</v>
      </c>
      <c r="D162" s="18">
        <v>41727.632222222222</v>
      </c>
      <c r="E162" s="19">
        <v>36</v>
      </c>
      <c r="F162" s="57" t="s">
        <v>554</v>
      </c>
      <c r="G162" s="19" t="str">
        <f t="shared" si="10"/>
        <v>85049</v>
      </c>
      <c r="H162" s="19" t="s">
        <v>196</v>
      </c>
      <c r="I162" s="19" t="s">
        <v>187</v>
      </c>
      <c r="J162" s="19" t="s">
        <v>206</v>
      </c>
      <c r="K162" s="19" t="s">
        <v>226</v>
      </c>
      <c r="L162" s="19">
        <v>4521</v>
      </c>
      <c r="M162" s="19" t="str">
        <f t="shared" si="8"/>
        <v>Radio 85049_UnitID_4521</v>
      </c>
      <c r="N162" s="55" t="s">
        <v>552</v>
      </c>
      <c r="O162" s="55"/>
      <c r="P162" s="19" t="s">
        <v>193</v>
      </c>
      <c r="Q162" s="101">
        <f t="shared" si="9"/>
        <v>0.22491898148291511</v>
      </c>
      <c r="R162" s="19" t="b">
        <v>1</v>
      </c>
      <c r="S162" s="19" t="b">
        <v>1</v>
      </c>
    </row>
    <row r="163" spans="1:19" ht="30">
      <c r="A163" s="17">
        <v>41727.40730324074</v>
      </c>
      <c r="B163" s="18">
        <v>41727.40730324074</v>
      </c>
      <c r="C163" s="17">
        <v>41727.649976851855</v>
      </c>
      <c r="D163" s="18">
        <v>41727.649976851855</v>
      </c>
      <c r="E163" s="19">
        <v>37</v>
      </c>
      <c r="F163" s="57" t="s">
        <v>555</v>
      </c>
      <c r="G163" s="19" t="str">
        <f t="shared" si="10"/>
        <v>31677</v>
      </c>
      <c r="H163" s="19" t="s">
        <v>556</v>
      </c>
      <c r="I163" s="19" t="s">
        <v>187</v>
      </c>
      <c r="J163" s="19" t="s">
        <v>206</v>
      </c>
      <c r="K163" s="19" t="s">
        <v>226</v>
      </c>
      <c r="L163" s="19">
        <v>4261</v>
      </c>
      <c r="M163" s="19" t="str">
        <f t="shared" si="8"/>
        <v>Radio 31677_UnitID_4261</v>
      </c>
      <c r="N163" s="55" t="s">
        <v>557</v>
      </c>
      <c r="O163" s="55"/>
      <c r="P163" s="19" t="s">
        <v>558</v>
      </c>
      <c r="Q163" s="101">
        <f t="shared" si="9"/>
        <v>0.24267361111560604</v>
      </c>
      <c r="R163" s="19" t="b">
        <v>1</v>
      </c>
      <c r="S163" s="19" t="b">
        <v>1</v>
      </c>
    </row>
    <row r="164" spans="1:19" ht="30">
      <c r="A164" s="17">
        <v>41727.40730324074</v>
      </c>
      <c r="B164" s="18">
        <v>41727.40730324074</v>
      </c>
      <c r="C164" s="17">
        <v>41727.632141203707</v>
      </c>
      <c r="D164" s="18">
        <v>41727.632141203707</v>
      </c>
      <c r="E164" s="19">
        <v>37</v>
      </c>
      <c r="F164" s="57" t="s">
        <v>559</v>
      </c>
      <c r="G164" s="19" t="str">
        <f t="shared" si="10"/>
        <v>31678</v>
      </c>
      <c r="H164" s="19" t="s">
        <v>556</v>
      </c>
      <c r="I164" s="19" t="s">
        <v>187</v>
      </c>
      <c r="J164" s="19" t="s">
        <v>206</v>
      </c>
      <c r="K164" s="19" t="s">
        <v>226</v>
      </c>
      <c r="L164" s="19">
        <v>4241</v>
      </c>
      <c r="M164" s="19" t="str">
        <f t="shared" si="8"/>
        <v>Radio 31678_UnitID_4241</v>
      </c>
      <c r="N164" s="55" t="s">
        <v>557</v>
      </c>
      <c r="O164" s="55"/>
      <c r="P164" s="19" t="s">
        <v>558</v>
      </c>
      <c r="Q164" s="101">
        <f t="shared" si="9"/>
        <v>0.22483796296728542</v>
      </c>
      <c r="R164" s="19" t="b">
        <v>1</v>
      </c>
      <c r="S164" s="19" t="b">
        <v>1</v>
      </c>
    </row>
    <row r="165" spans="1:19" ht="30">
      <c r="A165" s="17">
        <v>41727.40730324074</v>
      </c>
      <c r="B165" s="18">
        <v>41727.40730324074</v>
      </c>
      <c r="C165" s="17">
        <v>41727.632048611114</v>
      </c>
      <c r="D165" s="18">
        <v>41727.632048611114</v>
      </c>
      <c r="E165" s="19">
        <v>37</v>
      </c>
      <c r="F165" s="57" t="s">
        <v>560</v>
      </c>
      <c r="G165" s="19" t="str">
        <f t="shared" si="10"/>
        <v>94715</v>
      </c>
      <c r="H165" s="19" t="s">
        <v>196</v>
      </c>
      <c r="I165" s="19" t="s">
        <v>187</v>
      </c>
      <c r="J165" s="19" t="s">
        <v>206</v>
      </c>
      <c r="K165" s="19" t="s">
        <v>226</v>
      </c>
      <c r="L165" s="19">
        <v>4251</v>
      </c>
      <c r="M165" s="19" t="str">
        <f t="shared" si="8"/>
        <v>Radio 94715_UnitID_4251</v>
      </c>
      <c r="N165" s="55" t="s">
        <v>557</v>
      </c>
      <c r="O165" s="55"/>
      <c r="P165" s="19" t="s">
        <v>558</v>
      </c>
      <c r="Q165" s="101">
        <f t="shared" si="9"/>
        <v>0.22474537037487607</v>
      </c>
      <c r="R165" s="19" t="b">
        <v>1</v>
      </c>
      <c r="S165" s="19" t="b">
        <v>1</v>
      </c>
    </row>
    <row r="166" spans="1:19" ht="30">
      <c r="A166" s="17">
        <v>41727.40730324074</v>
      </c>
      <c r="B166" s="18">
        <v>41727.40730324074</v>
      </c>
      <c r="C166" s="17">
        <v>41727.585347222222</v>
      </c>
      <c r="D166" s="18">
        <v>41727.585347222222</v>
      </c>
      <c r="E166" s="19">
        <v>37</v>
      </c>
      <c r="F166" s="57" t="s">
        <v>561</v>
      </c>
      <c r="G166" s="19" t="str">
        <f t="shared" si="10"/>
        <v>15173</v>
      </c>
      <c r="H166" s="19" t="s">
        <v>188</v>
      </c>
      <c r="I166" s="19" t="s">
        <v>189</v>
      </c>
      <c r="J166" s="19" t="s">
        <v>190</v>
      </c>
      <c r="K166" s="19" t="s">
        <v>191</v>
      </c>
      <c r="L166" s="19">
        <v>4281</v>
      </c>
      <c r="M166" s="19" t="str">
        <f t="shared" ref="M166:M209" si="11">CONCATENATE("Radio ",G166,"_UnitID_",L166)</f>
        <v>Radio 15173_UnitID_4281</v>
      </c>
      <c r="N166" s="55" t="s">
        <v>557</v>
      </c>
      <c r="O166" s="55"/>
      <c r="P166" s="19" t="s">
        <v>204</v>
      </c>
      <c r="Q166" s="101">
        <f t="shared" ref="Q166:Q168" si="12">D166-B166</f>
        <v>0.17804398148291511</v>
      </c>
      <c r="R166" s="19" t="b">
        <v>1</v>
      </c>
      <c r="S166" s="19" t="b">
        <v>1</v>
      </c>
    </row>
    <row r="167" spans="1:19" ht="30">
      <c r="A167" s="17">
        <v>41727.424490740741</v>
      </c>
      <c r="B167" s="18">
        <v>41727.424490740741</v>
      </c>
      <c r="C167" s="17">
        <v>41727.584745370368</v>
      </c>
      <c r="D167" s="18">
        <v>41727.584745370368</v>
      </c>
      <c r="E167" s="19">
        <v>38</v>
      </c>
      <c r="F167" s="57" t="s">
        <v>562</v>
      </c>
      <c r="G167" s="19" t="str">
        <f t="shared" si="10"/>
        <v>15536</v>
      </c>
      <c r="H167" s="19" t="s">
        <v>188</v>
      </c>
      <c r="I167" s="19" t="s">
        <v>189</v>
      </c>
      <c r="J167" s="19" t="s">
        <v>190</v>
      </c>
      <c r="K167" s="19" t="s">
        <v>191</v>
      </c>
      <c r="L167" s="19">
        <v>4341</v>
      </c>
      <c r="M167" s="19" t="str">
        <f t="shared" si="11"/>
        <v>Radio 15536_UnitID_4341</v>
      </c>
      <c r="N167" s="55" t="s">
        <v>557</v>
      </c>
      <c r="O167" s="55"/>
      <c r="P167" s="19" t="s">
        <v>204</v>
      </c>
      <c r="Q167" s="101">
        <f t="shared" si="12"/>
        <v>0.16025462962716119</v>
      </c>
      <c r="R167" s="19" t="b">
        <v>1</v>
      </c>
      <c r="S167" s="19" t="b">
        <v>1</v>
      </c>
    </row>
    <row r="168" spans="1:19" ht="30">
      <c r="A168" s="17">
        <v>41727.426030092596</v>
      </c>
      <c r="B168" s="18">
        <v>41727.426030092596</v>
      </c>
      <c r="C168" s="17">
        <v>41727.582071759258</v>
      </c>
      <c r="D168" s="18">
        <v>41727.582071759258</v>
      </c>
      <c r="E168" s="19">
        <v>38</v>
      </c>
      <c r="F168" s="57" t="s">
        <v>563</v>
      </c>
      <c r="G168" s="19" t="str">
        <f t="shared" si="10"/>
        <v>45557</v>
      </c>
      <c r="H168" s="19" t="s">
        <v>238</v>
      </c>
      <c r="I168" s="19" t="s">
        <v>564</v>
      </c>
      <c r="J168" s="19" t="s">
        <v>190</v>
      </c>
      <c r="K168" s="19" t="s">
        <v>191</v>
      </c>
      <c r="L168" s="19">
        <v>38</v>
      </c>
      <c r="M168" s="19" t="str">
        <f t="shared" si="11"/>
        <v>Radio 45557_UnitID_38</v>
      </c>
      <c r="N168" s="55" t="s">
        <v>557</v>
      </c>
      <c r="O168" s="55"/>
      <c r="P168" s="19" t="s">
        <v>204</v>
      </c>
      <c r="Q168" s="101">
        <f t="shared" si="12"/>
        <v>0.156041666661622</v>
      </c>
      <c r="R168" s="19" t="b">
        <v>1</v>
      </c>
      <c r="S168" s="19" t="b">
        <v>1</v>
      </c>
    </row>
    <row r="169" spans="1:19" ht="30">
      <c r="A169" s="17">
        <v>41727.426030092596</v>
      </c>
      <c r="B169" s="18">
        <v>41727.426030092596</v>
      </c>
      <c r="C169" s="17">
        <v>41728.544050925928</v>
      </c>
      <c r="D169" s="18">
        <v>41728.544050925928</v>
      </c>
      <c r="E169" s="19">
        <v>38</v>
      </c>
      <c r="F169" s="57" t="s">
        <v>565</v>
      </c>
      <c r="G169" s="19" t="str">
        <f t="shared" si="10"/>
        <v>87757</v>
      </c>
      <c r="H169" s="19" t="s">
        <v>196</v>
      </c>
      <c r="I169" s="19" t="s">
        <v>187</v>
      </c>
      <c r="J169" s="19" t="s">
        <v>206</v>
      </c>
      <c r="K169" s="19" t="s">
        <v>226</v>
      </c>
      <c r="L169" s="19">
        <v>4271</v>
      </c>
      <c r="M169" s="19" t="str">
        <f>CONCATENATE("Radio ",G169,"_UnitID_",L169)</f>
        <v>Radio 87757_UnitID_4271</v>
      </c>
      <c r="N169" s="55" t="s">
        <v>557</v>
      </c>
      <c r="O169" s="55"/>
      <c r="P169" s="19" t="s">
        <v>204</v>
      </c>
      <c r="Q169" s="101">
        <f>D169-B169</f>
        <v>1.1180208333316841</v>
      </c>
      <c r="R169" s="19" t="b">
        <v>1</v>
      </c>
      <c r="S169" s="19" t="b">
        <v>1</v>
      </c>
    </row>
    <row r="170" spans="1:19" ht="30">
      <c r="A170" s="17">
        <v>41727.426030092596</v>
      </c>
      <c r="B170" s="18">
        <v>41727.426030092596</v>
      </c>
      <c r="C170" s="17">
        <v>41727.632303240738</v>
      </c>
      <c r="D170" s="18">
        <v>41727.632303240738</v>
      </c>
      <c r="E170" s="19">
        <v>38</v>
      </c>
      <c r="F170" s="57" t="s">
        <v>566</v>
      </c>
      <c r="G170" s="19" t="str">
        <f t="shared" si="10"/>
        <v>62581</v>
      </c>
      <c r="H170" s="19" t="s">
        <v>196</v>
      </c>
      <c r="I170" s="19" t="s">
        <v>187</v>
      </c>
      <c r="J170" s="19" t="s">
        <v>206</v>
      </c>
      <c r="K170" s="19" t="s">
        <v>226</v>
      </c>
      <c r="L170" s="19">
        <v>4291</v>
      </c>
      <c r="M170" s="19" t="str">
        <f t="shared" si="11"/>
        <v>Radio 62581_UnitID_4291</v>
      </c>
      <c r="N170" s="55" t="s">
        <v>557</v>
      </c>
      <c r="O170" s="55"/>
      <c r="P170" s="19" t="s">
        <v>558</v>
      </c>
      <c r="Q170" s="101">
        <f t="shared" ref="Q170:Q209" si="13">D170-B170</f>
        <v>0.20627314814191777</v>
      </c>
      <c r="R170" s="19" t="b">
        <v>1</v>
      </c>
      <c r="S170" s="19" t="b">
        <v>1</v>
      </c>
    </row>
    <row r="171" spans="1:19" ht="30">
      <c r="A171" s="17">
        <v>41727.435173611113</v>
      </c>
      <c r="B171" s="18">
        <v>41727.435173611113</v>
      </c>
      <c r="C171" s="17">
        <v>41727.558553240742</v>
      </c>
      <c r="D171" s="18">
        <v>41727.558553240742</v>
      </c>
      <c r="E171" s="19">
        <v>39</v>
      </c>
      <c r="F171" s="57" t="s">
        <v>567</v>
      </c>
      <c r="G171" s="19" t="str">
        <f t="shared" si="10"/>
        <v>15893</v>
      </c>
      <c r="H171" s="19" t="s">
        <v>188</v>
      </c>
      <c r="I171" s="19" t="s">
        <v>189</v>
      </c>
      <c r="J171" s="19" t="s">
        <v>190</v>
      </c>
      <c r="K171" s="19" t="s">
        <v>191</v>
      </c>
      <c r="L171" s="19">
        <v>1831</v>
      </c>
      <c r="M171" s="19" t="str">
        <f t="shared" si="11"/>
        <v>Radio 15893_UnitID_1831</v>
      </c>
      <c r="N171" s="55" t="s">
        <v>568</v>
      </c>
      <c r="O171" s="110" t="s">
        <v>569</v>
      </c>
      <c r="P171" s="19" t="s">
        <v>204</v>
      </c>
      <c r="Q171" s="101">
        <f t="shared" si="13"/>
        <v>0.12337962962919846</v>
      </c>
      <c r="R171" s="19" t="b">
        <v>1</v>
      </c>
      <c r="S171" s="19" t="b">
        <v>1</v>
      </c>
    </row>
    <row r="172" spans="1:19" ht="30">
      <c r="A172" s="17">
        <v>41727.522453703707</v>
      </c>
      <c r="B172" s="18">
        <v>41727.522453703707</v>
      </c>
      <c r="C172" s="17">
        <v>41727.794178240743</v>
      </c>
      <c r="D172" s="18">
        <v>41727.794178240743</v>
      </c>
      <c r="E172" s="19">
        <v>40</v>
      </c>
      <c r="F172" s="57" t="s">
        <v>570</v>
      </c>
      <c r="G172" s="19" t="str">
        <f t="shared" si="10"/>
        <v>60773</v>
      </c>
      <c r="H172" s="19" t="s">
        <v>244</v>
      </c>
      <c r="I172" s="19" t="s">
        <v>189</v>
      </c>
      <c r="J172" s="19" t="s">
        <v>190</v>
      </c>
      <c r="K172" s="19" t="s">
        <v>191</v>
      </c>
      <c r="L172" s="19">
        <v>2042</v>
      </c>
      <c r="M172" s="19" t="str">
        <f t="shared" si="11"/>
        <v>Radio 60773_UnitID_2042</v>
      </c>
      <c r="N172" s="55" t="s">
        <v>637</v>
      </c>
      <c r="O172" s="110" t="s">
        <v>342</v>
      </c>
      <c r="P172" s="19" t="s">
        <v>241</v>
      </c>
      <c r="Q172" s="101">
        <f t="shared" si="13"/>
        <v>0.27172453703678912</v>
      </c>
      <c r="R172" s="19" t="b">
        <v>1</v>
      </c>
      <c r="S172" s="19" t="b">
        <v>1</v>
      </c>
    </row>
    <row r="173" spans="1:19" ht="30">
      <c r="A173" s="17">
        <v>41727.522453703707</v>
      </c>
      <c r="B173" s="18">
        <v>41727.522453703707</v>
      </c>
      <c r="C173" s="17">
        <v>41727.781782407408</v>
      </c>
      <c r="D173" s="18">
        <v>41727.781782407408</v>
      </c>
      <c r="E173" s="19">
        <v>40</v>
      </c>
      <c r="F173" s="57" t="s">
        <v>571</v>
      </c>
      <c r="G173" s="19" t="str">
        <f t="shared" si="10"/>
        <v>14213</v>
      </c>
      <c r="H173" s="19" t="s">
        <v>188</v>
      </c>
      <c r="I173" s="19" t="s">
        <v>189</v>
      </c>
      <c r="J173" s="19" t="s">
        <v>190</v>
      </c>
      <c r="K173" s="19" t="s">
        <v>191</v>
      </c>
      <c r="L173" s="19">
        <v>2041</v>
      </c>
      <c r="M173" s="19" t="str">
        <f t="shared" si="11"/>
        <v>Radio 14213_UnitID_2041</v>
      </c>
      <c r="N173" s="55" t="s">
        <v>637</v>
      </c>
      <c r="O173" s="110" t="s">
        <v>342</v>
      </c>
      <c r="P173" s="19" t="s">
        <v>241</v>
      </c>
      <c r="Q173" s="101">
        <f t="shared" si="13"/>
        <v>0.25932870370161254</v>
      </c>
      <c r="R173" s="19" t="b">
        <v>1</v>
      </c>
      <c r="S173" s="19" t="b">
        <v>1</v>
      </c>
    </row>
    <row r="174" spans="1:19" ht="30">
      <c r="A174" s="17">
        <v>41727.522453703707</v>
      </c>
      <c r="B174" s="18">
        <v>41727.522453703707</v>
      </c>
      <c r="C174" s="17">
        <v>41727.779675925929</v>
      </c>
      <c r="D174" s="18">
        <v>41727.779675925929</v>
      </c>
      <c r="E174" s="19">
        <v>40</v>
      </c>
      <c r="F174" s="57" t="s">
        <v>572</v>
      </c>
      <c r="G174" s="19" t="str">
        <f t="shared" si="10"/>
        <v>13787</v>
      </c>
      <c r="H174" s="19" t="s">
        <v>188</v>
      </c>
      <c r="I174" s="19" t="s">
        <v>189</v>
      </c>
      <c r="J174" s="19" t="s">
        <v>190</v>
      </c>
      <c r="K174" s="19" t="s">
        <v>191</v>
      </c>
      <c r="L174" s="19">
        <v>2072</v>
      </c>
      <c r="M174" s="19" t="str">
        <f t="shared" si="11"/>
        <v>Radio 13787_UnitID_2072</v>
      </c>
      <c r="N174" s="55" t="s">
        <v>637</v>
      </c>
      <c r="O174" s="110" t="s">
        <v>573</v>
      </c>
      <c r="P174" s="19" t="s">
        <v>241</v>
      </c>
      <c r="Q174" s="101">
        <f t="shared" si="13"/>
        <v>0.25722222222248092</v>
      </c>
      <c r="R174" s="19" t="b">
        <v>1</v>
      </c>
      <c r="S174" s="19" t="b">
        <v>1</v>
      </c>
    </row>
    <row r="175" spans="1:19" ht="30">
      <c r="A175" s="17">
        <v>41727.522453703707</v>
      </c>
      <c r="B175" s="18">
        <v>41727.522453703707</v>
      </c>
      <c r="C175" s="17">
        <v>41727.782766203702</v>
      </c>
      <c r="D175" s="18">
        <v>41727.782766203702</v>
      </c>
      <c r="E175" s="19">
        <v>40</v>
      </c>
      <c r="F175" s="57" t="s">
        <v>574</v>
      </c>
      <c r="G175" s="19" t="str">
        <f t="shared" si="10"/>
        <v>63154</v>
      </c>
      <c r="H175" s="19" t="s">
        <v>238</v>
      </c>
      <c r="I175" s="19" t="s">
        <v>239</v>
      </c>
      <c r="J175" s="19" t="s">
        <v>190</v>
      </c>
      <c r="K175" s="19" t="s">
        <v>191</v>
      </c>
      <c r="L175" s="19">
        <v>2062</v>
      </c>
      <c r="M175" s="19" t="str">
        <f t="shared" si="11"/>
        <v>Radio 63154_UnitID_2062</v>
      </c>
      <c r="N175" s="55" t="s">
        <v>637</v>
      </c>
      <c r="O175" s="110" t="s">
        <v>342</v>
      </c>
      <c r="P175" s="19" t="s">
        <v>221</v>
      </c>
      <c r="Q175" s="101">
        <f t="shared" si="13"/>
        <v>0.26031249999505235</v>
      </c>
      <c r="R175" s="19" t="b">
        <v>1</v>
      </c>
      <c r="S175" s="19" t="b">
        <v>1</v>
      </c>
    </row>
    <row r="176" spans="1:19" ht="30">
      <c r="A176" s="17">
        <v>41727.522453703707</v>
      </c>
      <c r="B176" s="18">
        <v>41727.522453703707</v>
      </c>
      <c r="C176" s="17">
        <v>41727.779143518521</v>
      </c>
      <c r="D176" s="18">
        <v>41727.779143518521</v>
      </c>
      <c r="E176" s="19">
        <v>40</v>
      </c>
      <c r="F176" s="57" t="s">
        <v>575</v>
      </c>
      <c r="G176" s="19" t="str">
        <f t="shared" si="10"/>
        <v>13725</v>
      </c>
      <c r="H176" s="19" t="s">
        <v>188</v>
      </c>
      <c r="I176" s="19" t="s">
        <v>189</v>
      </c>
      <c r="J176" s="19" t="s">
        <v>190</v>
      </c>
      <c r="K176" s="19" t="s">
        <v>191</v>
      </c>
      <c r="L176" s="19">
        <v>2061</v>
      </c>
      <c r="M176" s="19" t="str">
        <f t="shared" si="11"/>
        <v>Radio 13725_UnitID_2061</v>
      </c>
      <c r="N176" s="55" t="s">
        <v>637</v>
      </c>
      <c r="O176" s="110" t="s">
        <v>342</v>
      </c>
      <c r="P176" s="19" t="s">
        <v>279</v>
      </c>
      <c r="Q176" s="101">
        <f t="shared" si="13"/>
        <v>0.25668981481430819</v>
      </c>
      <c r="R176" s="19" t="b">
        <v>1</v>
      </c>
      <c r="S176" s="19" t="b">
        <v>1</v>
      </c>
    </row>
    <row r="177" spans="1:22">
      <c r="A177" s="17">
        <v>41727.522453703707</v>
      </c>
      <c r="B177" s="18">
        <v>41727.522453703707</v>
      </c>
      <c r="C177" s="17">
        <v>41727.784236111111</v>
      </c>
      <c r="D177" s="18">
        <v>41727.784236111111</v>
      </c>
      <c r="E177" s="19">
        <v>40</v>
      </c>
      <c r="F177" s="57" t="s">
        <v>576</v>
      </c>
      <c r="G177" s="19" t="str">
        <f t="shared" si="10"/>
        <v>61928</v>
      </c>
      <c r="H177" s="19" t="s">
        <v>293</v>
      </c>
      <c r="I177" s="19" t="s">
        <v>187</v>
      </c>
      <c r="J177" s="19" t="s">
        <v>206</v>
      </c>
      <c r="K177" s="19" t="s">
        <v>226</v>
      </c>
      <c r="L177" s="19">
        <v>2013</v>
      </c>
      <c r="M177" s="19" t="str">
        <f t="shared" si="11"/>
        <v>Radio 61928_UnitID_2013</v>
      </c>
      <c r="N177" s="55" t="s">
        <v>637</v>
      </c>
      <c r="O177" s="110" t="s">
        <v>577</v>
      </c>
      <c r="P177" s="19" t="s">
        <v>221</v>
      </c>
      <c r="Q177" s="101">
        <f t="shared" si="13"/>
        <v>0.26178240740409819</v>
      </c>
      <c r="R177" s="19" t="b">
        <v>1</v>
      </c>
      <c r="S177" s="19" t="b">
        <v>1</v>
      </c>
    </row>
    <row r="178" spans="1:22">
      <c r="A178" s="17">
        <v>41727.522453703707</v>
      </c>
      <c r="B178" s="18">
        <v>41727.522453703707</v>
      </c>
      <c r="C178" s="17">
        <v>41727.783530092594</v>
      </c>
      <c r="D178" s="18">
        <v>41727.783530092594</v>
      </c>
      <c r="E178" s="19">
        <v>40</v>
      </c>
      <c r="F178" s="57" t="s">
        <v>578</v>
      </c>
      <c r="G178" s="19" t="str">
        <f t="shared" si="10"/>
        <v>61941</v>
      </c>
      <c r="H178" s="19" t="s">
        <v>293</v>
      </c>
      <c r="I178" s="19" t="s">
        <v>187</v>
      </c>
      <c r="J178" s="19" t="s">
        <v>206</v>
      </c>
      <c r="K178" s="19" t="s">
        <v>226</v>
      </c>
      <c r="L178" s="19">
        <v>2012</v>
      </c>
      <c r="M178" s="19" t="str">
        <f t="shared" si="11"/>
        <v>Radio 61941_UnitID_2012</v>
      </c>
      <c r="N178" s="55" t="s">
        <v>637</v>
      </c>
      <c r="O178" s="110" t="s">
        <v>579</v>
      </c>
      <c r="P178" s="19" t="s">
        <v>193</v>
      </c>
      <c r="Q178" s="101">
        <f t="shared" si="13"/>
        <v>0.26107638888788642</v>
      </c>
      <c r="R178" s="19" t="b">
        <v>1</v>
      </c>
      <c r="S178" s="19" t="b">
        <v>1</v>
      </c>
    </row>
    <row r="179" spans="1:22">
      <c r="A179" s="17">
        <v>41727.522453703707</v>
      </c>
      <c r="B179" s="18">
        <v>41727.522453703707</v>
      </c>
      <c r="C179" s="17">
        <v>41727.785451388889</v>
      </c>
      <c r="D179" s="18">
        <v>41727.785451388889</v>
      </c>
      <c r="E179" s="19">
        <v>40</v>
      </c>
      <c r="F179" s="57" t="s">
        <v>580</v>
      </c>
      <c r="G179" s="19" t="str">
        <f t="shared" si="10"/>
        <v>74821</v>
      </c>
      <c r="H179" s="19" t="s">
        <v>196</v>
      </c>
      <c r="I179" s="19" t="s">
        <v>187</v>
      </c>
      <c r="J179" s="19" t="s">
        <v>206</v>
      </c>
      <c r="K179" s="19" t="s">
        <v>226</v>
      </c>
      <c r="L179" s="19">
        <v>2081</v>
      </c>
      <c r="M179" s="19" t="str">
        <f t="shared" si="11"/>
        <v>Radio 74821_UnitID_2081</v>
      </c>
      <c r="N179" s="55" t="s">
        <v>637</v>
      </c>
      <c r="O179" s="55" t="s">
        <v>579</v>
      </c>
      <c r="P179" s="19" t="s">
        <v>241</v>
      </c>
      <c r="Q179" s="101">
        <f t="shared" si="13"/>
        <v>0.26299768518219935</v>
      </c>
      <c r="R179" s="19" t="b">
        <v>1</v>
      </c>
      <c r="S179" s="19" t="b">
        <v>1</v>
      </c>
    </row>
    <row r="180" spans="1:22">
      <c r="A180" s="17">
        <v>41727.61273148148</v>
      </c>
      <c r="B180" s="18">
        <v>41727.61273148148</v>
      </c>
      <c r="C180" s="17">
        <v>41727.794004629628</v>
      </c>
      <c r="D180" s="18">
        <v>41727.794004629628</v>
      </c>
      <c r="E180" s="19">
        <v>41</v>
      </c>
      <c r="F180" s="57" t="s">
        <v>581</v>
      </c>
      <c r="G180" s="19" t="str">
        <f t="shared" si="10"/>
        <v>30784</v>
      </c>
      <c r="H180" s="19" t="s">
        <v>244</v>
      </c>
      <c r="I180" s="19" t="s">
        <v>374</v>
      </c>
      <c r="J180" s="19" t="s">
        <v>190</v>
      </c>
      <c r="K180" s="19" t="s">
        <v>191</v>
      </c>
      <c r="L180" s="19">
        <v>5093</v>
      </c>
      <c r="M180" s="19" t="str">
        <f t="shared" si="11"/>
        <v>Radio 30784_UnitID_5093</v>
      </c>
      <c r="N180" s="55" t="s">
        <v>582</v>
      </c>
      <c r="O180" s="55" t="s">
        <v>577</v>
      </c>
      <c r="P180" s="19" t="s">
        <v>369</v>
      </c>
      <c r="Q180" s="101">
        <f t="shared" si="13"/>
        <v>0.18127314814773854</v>
      </c>
      <c r="R180" s="19" t="b">
        <v>1</v>
      </c>
      <c r="S180" s="19" t="b">
        <v>1</v>
      </c>
    </row>
    <row r="181" spans="1:22">
      <c r="A181" s="17">
        <v>41727.61273148148</v>
      </c>
      <c r="B181" s="18">
        <v>41727.61273148148</v>
      </c>
      <c r="C181" s="17">
        <v>41727.79582175926</v>
      </c>
      <c r="D181" s="18">
        <v>41727.79582175926</v>
      </c>
      <c r="E181" s="19">
        <v>41</v>
      </c>
      <c r="F181" s="57" t="s">
        <v>583</v>
      </c>
      <c r="G181" s="19" t="str">
        <f t="shared" si="10"/>
        <v>95859</v>
      </c>
      <c r="H181" s="19" t="s">
        <v>244</v>
      </c>
      <c r="I181" s="19" t="s">
        <v>374</v>
      </c>
      <c r="J181" s="19" t="s">
        <v>190</v>
      </c>
      <c r="K181" s="19" t="s">
        <v>191</v>
      </c>
      <c r="L181" s="19">
        <v>5091</v>
      </c>
      <c r="M181" s="19" t="str">
        <f t="shared" si="11"/>
        <v>Radio 95859_UnitID_5091</v>
      </c>
      <c r="N181" s="55" t="s">
        <v>582</v>
      </c>
      <c r="O181" s="55"/>
      <c r="P181" s="19" t="s">
        <v>369</v>
      </c>
      <c r="Q181" s="101">
        <f t="shared" si="13"/>
        <v>0.18309027778013842</v>
      </c>
      <c r="R181" s="19" t="b">
        <v>1</v>
      </c>
      <c r="S181" s="19" t="b">
        <v>1</v>
      </c>
    </row>
    <row r="182" spans="1:22">
      <c r="A182" s="17">
        <v>41727.61273148148</v>
      </c>
      <c r="B182" s="18">
        <v>41727.61273148148</v>
      </c>
      <c r="C182" s="17">
        <v>41727.800729166665</v>
      </c>
      <c r="D182" s="18">
        <v>41727.800729166665</v>
      </c>
      <c r="E182" s="19">
        <v>41</v>
      </c>
      <c r="F182" s="57" t="s">
        <v>584</v>
      </c>
      <c r="G182" s="19" t="str">
        <f t="shared" si="10"/>
        <v>85716</v>
      </c>
      <c r="H182" s="19" t="s">
        <v>188</v>
      </c>
      <c r="I182" s="19" t="s">
        <v>189</v>
      </c>
      <c r="J182" s="19" t="s">
        <v>190</v>
      </c>
      <c r="K182" s="19" t="s">
        <v>191</v>
      </c>
      <c r="L182" s="19">
        <v>5051</v>
      </c>
      <c r="M182" s="19" t="str">
        <f t="shared" si="11"/>
        <v>Radio 85716_UnitID_5051</v>
      </c>
      <c r="N182" s="55" t="s">
        <v>582</v>
      </c>
      <c r="O182" s="55"/>
      <c r="P182" s="19" t="s">
        <v>369</v>
      </c>
      <c r="Q182" s="101">
        <f t="shared" si="13"/>
        <v>0.18799768518510973</v>
      </c>
      <c r="R182" s="19" t="b">
        <v>1</v>
      </c>
      <c r="S182" s="19" t="b">
        <v>1</v>
      </c>
    </row>
    <row r="183" spans="1:22">
      <c r="A183" s="17">
        <v>41727.61273148148</v>
      </c>
      <c r="B183" s="18">
        <v>41727.61273148148</v>
      </c>
      <c r="C183" s="17">
        <v>41727.804085648146</v>
      </c>
      <c r="D183" s="18">
        <v>41727.804085648146</v>
      </c>
      <c r="E183" s="19">
        <v>41</v>
      </c>
      <c r="F183" s="57" t="s">
        <v>585</v>
      </c>
      <c r="G183" s="19" t="str">
        <f t="shared" si="10"/>
        <v>15589</v>
      </c>
      <c r="H183" s="19" t="s">
        <v>188</v>
      </c>
      <c r="I183" s="19" t="s">
        <v>189</v>
      </c>
      <c r="J183" s="19" t="s">
        <v>190</v>
      </c>
      <c r="K183" s="19" t="s">
        <v>191</v>
      </c>
      <c r="L183" s="19">
        <v>5041</v>
      </c>
      <c r="M183" s="19" t="str">
        <f t="shared" si="11"/>
        <v>Radio 15589_UnitID_5041</v>
      </c>
      <c r="N183" s="55" t="s">
        <v>582</v>
      </c>
      <c r="O183" s="55"/>
      <c r="P183" s="19" t="s">
        <v>369</v>
      </c>
      <c r="Q183" s="101">
        <f t="shared" si="13"/>
        <v>0.1913541666654055</v>
      </c>
      <c r="R183" s="19" t="b">
        <v>1</v>
      </c>
      <c r="S183" s="19" t="b">
        <v>1</v>
      </c>
    </row>
    <row r="184" spans="1:22">
      <c r="A184" s="17">
        <v>41727.61273148148</v>
      </c>
      <c r="B184" s="18">
        <v>41727.61273148148</v>
      </c>
      <c r="C184" s="17">
        <v>41727.801851851851</v>
      </c>
      <c r="D184" s="18">
        <v>41727.801851851851</v>
      </c>
      <c r="E184" s="19">
        <v>41</v>
      </c>
      <c r="F184" s="57" t="s">
        <v>586</v>
      </c>
      <c r="G184" s="19" t="str">
        <f t="shared" si="10"/>
        <v>30844</v>
      </c>
      <c r="H184" s="19" t="s">
        <v>244</v>
      </c>
      <c r="I184" s="19" t="s">
        <v>374</v>
      </c>
      <c r="J184" s="19" t="s">
        <v>190</v>
      </c>
      <c r="K184" s="19" t="s">
        <v>191</v>
      </c>
      <c r="L184" s="19">
        <v>5094</v>
      </c>
      <c r="M184" s="19" t="str">
        <f t="shared" si="11"/>
        <v>Radio 30844_UnitID_5094</v>
      </c>
      <c r="N184" s="55" t="s">
        <v>582</v>
      </c>
      <c r="O184" s="55"/>
      <c r="P184" s="19" t="s">
        <v>369</v>
      </c>
      <c r="Q184" s="101">
        <f t="shared" si="13"/>
        <v>0.18912037037080154</v>
      </c>
      <c r="R184" s="19" t="b">
        <v>1</v>
      </c>
      <c r="S184" s="19" t="b">
        <v>1</v>
      </c>
    </row>
    <row r="185" spans="1:22">
      <c r="A185" s="17">
        <v>41727.61273148148</v>
      </c>
      <c r="B185" s="18">
        <v>41727.61273148148</v>
      </c>
      <c r="C185" s="17">
        <v>41727.805995370371</v>
      </c>
      <c r="D185" s="18">
        <v>41727.805995370371</v>
      </c>
      <c r="E185" s="19">
        <v>41</v>
      </c>
      <c r="F185" s="57" t="s">
        <v>587</v>
      </c>
      <c r="G185" s="19" t="str">
        <f t="shared" si="10"/>
        <v>29453</v>
      </c>
      <c r="H185" s="19" t="s">
        <v>244</v>
      </c>
      <c r="I185" s="19" t="s">
        <v>374</v>
      </c>
      <c r="J185" s="19" t="s">
        <v>190</v>
      </c>
      <c r="K185" s="19" t="s">
        <v>191</v>
      </c>
      <c r="L185" s="19">
        <v>5092</v>
      </c>
      <c r="M185" s="19" t="str">
        <f t="shared" si="11"/>
        <v>Radio 29453_UnitID_5092</v>
      </c>
      <c r="N185" s="55" t="s">
        <v>582</v>
      </c>
      <c r="O185" s="55"/>
      <c r="P185" s="19" t="s">
        <v>369</v>
      </c>
      <c r="Q185" s="101">
        <f t="shared" si="13"/>
        <v>0.19326388889021473</v>
      </c>
      <c r="R185" s="19" t="b">
        <v>1</v>
      </c>
      <c r="S185" s="19" t="b">
        <v>1</v>
      </c>
    </row>
    <row r="186" spans="1:22">
      <c r="A186" s="17">
        <v>41727.61273148148</v>
      </c>
      <c r="B186" s="18">
        <v>41727.61273148148</v>
      </c>
      <c r="C186" s="17">
        <v>41727.802928240744</v>
      </c>
      <c r="D186" s="18">
        <v>41727.802928240744</v>
      </c>
      <c r="E186" s="19">
        <v>41</v>
      </c>
      <c r="F186" s="57" t="s">
        <v>588</v>
      </c>
      <c r="G186" s="19" t="str">
        <f t="shared" si="10"/>
        <v>14182</v>
      </c>
      <c r="H186" s="19" t="s">
        <v>188</v>
      </c>
      <c r="I186" s="19" t="s">
        <v>189</v>
      </c>
      <c r="J186" s="19" t="s">
        <v>190</v>
      </c>
      <c r="K186" s="19" t="s">
        <v>191</v>
      </c>
      <c r="L186" s="19">
        <v>5021</v>
      </c>
      <c r="M186" s="19" t="str">
        <f t="shared" si="11"/>
        <v>Radio 14182_UnitID_5021</v>
      </c>
      <c r="N186" s="55" t="s">
        <v>582</v>
      </c>
      <c r="O186" s="55"/>
      <c r="P186" s="19" t="s">
        <v>279</v>
      </c>
      <c r="Q186" s="101">
        <f t="shared" si="13"/>
        <v>0.19019675926392665</v>
      </c>
      <c r="R186" s="19" t="b">
        <v>1</v>
      </c>
      <c r="S186" s="19" t="b">
        <v>1</v>
      </c>
    </row>
    <row r="187" spans="1:22">
      <c r="A187" s="17">
        <v>41727.61273148148</v>
      </c>
      <c r="B187" s="18">
        <v>41727.61273148148</v>
      </c>
      <c r="C187" s="17">
        <v>41727.80505787037</v>
      </c>
      <c r="D187" s="18">
        <v>41727.80505787037</v>
      </c>
      <c r="E187" s="19">
        <v>41</v>
      </c>
      <c r="F187" s="57" t="s">
        <v>589</v>
      </c>
      <c r="G187" s="19" t="str">
        <f t="shared" si="10"/>
        <v>29556</v>
      </c>
      <c r="H187" s="19" t="s">
        <v>244</v>
      </c>
      <c r="I187" s="19" t="s">
        <v>374</v>
      </c>
      <c r="J187" s="19" t="s">
        <v>190</v>
      </c>
      <c r="K187" s="19" t="s">
        <v>191</v>
      </c>
      <c r="L187" s="19">
        <v>5095</v>
      </c>
      <c r="M187" s="19" t="str">
        <f t="shared" si="11"/>
        <v>Radio 29556_UnitID_5095</v>
      </c>
      <c r="N187" s="55" t="s">
        <v>582</v>
      </c>
      <c r="O187" s="55"/>
      <c r="P187" s="19" t="s">
        <v>204</v>
      </c>
      <c r="Q187" s="101">
        <f t="shared" si="13"/>
        <v>0.19232638888934162</v>
      </c>
      <c r="R187" s="19" t="b">
        <v>1</v>
      </c>
      <c r="S187" s="19" t="b">
        <v>1</v>
      </c>
    </row>
    <row r="188" spans="1:22">
      <c r="A188" s="17">
        <v>41727.61273148148</v>
      </c>
      <c r="B188" s="18">
        <v>41727.61273148148</v>
      </c>
      <c r="C188" s="17">
        <v>41727.800856481481</v>
      </c>
      <c r="D188" s="18">
        <v>41727.800856481481</v>
      </c>
      <c r="E188" s="19">
        <v>41</v>
      </c>
      <c r="F188" s="57" t="s">
        <v>590</v>
      </c>
      <c r="G188" s="19" t="str">
        <f t="shared" si="10"/>
        <v>15595</v>
      </c>
      <c r="H188" s="19" t="s">
        <v>188</v>
      </c>
      <c r="I188" s="19" t="s">
        <v>189</v>
      </c>
      <c r="J188" s="19" t="s">
        <v>190</v>
      </c>
      <c r="K188" s="19" t="s">
        <v>191</v>
      </c>
      <c r="L188" s="19">
        <v>5061</v>
      </c>
      <c r="M188" s="19" t="str">
        <f t="shared" si="11"/>
        <v>Radio 15595_UnitID_5061</v>
      </c>
      <c r="N188" s="55" t="s">
        <v>582</v>
      </c>
      <c r="O188" s="55"/>
      <c r="P188" s="19" t="s">
        <v>241</v>
      </c>
      <c r="Q188" s="101">
        <f t="shared" si="13"/>
        <v>0.18812500000058208</v>
      </c>
      <c r="R188" s="19" t="b">
        <v>1</v>
      </c>
      <c r="S188" s="19" t="b">
        <v>1</v>
      </c>
    </row>
    <row r="189" spans="1:22">
      <c r="A189" s="17">
        <v>41727.638344907406</v>
      </c>
      <c r="B189" s="18">
        <v>41727.638344907406</v>
      </c>
      <c r="C189" s="17">
        <v>41727.812303240738</v>
      </c>
      <c r="D189" s="18">
        <v>41727.812303240738</v>
      </c>
      <c r="E189" s="19">
        <v>42</v>
      </c>
      <c r="F189" s="57" t="s">
        <v>591</v>
      </c>
      <c r="G189" s="19" t="str">
        <f t="shared" si="10"/>
        <v>85770</v>
      </c>
      <c r="H189" s="19" t="s">
        <v>188</v>
      </c>
      <c r="I189" s="19" t="s">
        <v>189</v>
      </c>
      <c r="J189" s="19" t="s">
        <v>190</v>
      </c>
      <c r="K189" s="19" t="s">
        <v>191</v>
      </c>
      <c r="L189" s="19">
        <v>6171</v>
      </c>
      <c r="M189" s="19" t="str">
        <f t="shared" si="11"/>
        <v>Radio 85770_UnitID_6171</v>
      </c>
      <c r="N189" s="55" t="s">
        <v>592</v>
      </c>
      <c r="O189" s="55" t="s">
        <v>577</v>
      </c>
      <c r="P189" s="19" t="s">
        <v>221</v>
      </c>
      <c r="Q189" s="101">
        <f t="shared" si="13"/>
        <v>0.17395833333284827</v>
      </c>
      <c r="R189" s="19" t="b">
        <v>1</v>
      </c>
      <c r="S189" s="19" t="b">
        <v>1</v>
      </c>
    </row>
    <row r="190" spans="1:22">
      <c r="A190" s="17">
        <v>41727.640381944446</v>
      </c>
      <c r="B190" s="18">
        <v>41727.640381944446</v>
      </c>
      <c r="C190" s="17">
        <v>41727.80709490741</v>
      </c>
      <c r="D190" s="18">
        <v>41727.80709490741</v>
      </c>
      <c r="E190" s="19">
        <v>42</v>
      </c>
      <c r="F190" s="57" t="s">
        <v>593</v>
      </c>
      <c r="G190" s="19" t="str">
        <f t="shared" si="10"/>
        <v>85718</v>
      </c>
      <c r="H190" s="19" t="s">
        <v>188</v>
      </c>
      <c r="I190" s="19" t="s">
        <v>189</v>
      </c>
      <c r="J190" s="19" t="s">
        <v>190</v>
      </c>
      <c r="K190" s="19" t="s">
        <v>191</v>
      </c>
      <c r="L190" s="19">
        <v>6101</v>
      </c>
      <c r="M190" s="19" t="str">
        <f t="shared" si="11"/>
        <v>Radio 85718_UnitID_6101</v>
      </c>
      <c r="N190" s="55" t="s">
        <v>592</v>
      </c>
      <c r="O190" s="55"/>
      <c r="P190" s="19" t="s">
        <v>241</v>
      </c>
      <c r="Q190" s="101">
        <f t="shared" si="13"/>
        <v>0.166712962964084</v>
      </c>
      <c r="R190" s="19" t="b">
        <v>1</v>
      </c>
      <c r="S190" s="19" t="b">
        <v>1</v>
      </c>
    </row>
    <row r="191" spans="1:22">
      <c r="A191" s="17">
        <v>41728.521145833336</v>
      </c>
      <c r="B191" s="18">
        <v>41728.521145833336</v>
      </c>
      <c r="C191" s="17">
        <v>41728.608842592592</v>
      </c>
      <c r="D191" s="18">
        <v>41728.608842592592</v>
      </c>
      <c r="E191" s="19">
        <v>43</v>
      </c>
      <c r="F191" s="57" t="s">
        <v>594</v>
      </c>
      <c r="G191" s="19" t="str">
        <f t="shared" si="10"/>
        <v>85646</v>
      </c>
      <c r="H191" s="19" t="s">
        <v>188</v>
      </c>
      <c r="I191" s="19" t="s">
        <v>189</v>
      </c>
      <c r="J191" s="19" t="s">
        <v>190</v>
      </c>
      <c r="K191" s="19" t="s">
        <v>191</v>
      </c>
      <c r="L191" s="19">
        <v>1041</v>
      </c>
      <c r="M191" s="19" t="str">
        <f t="shared" si="11"/>
        <v>Radio 85646_UnitID_1041</v>
      </c>
      <c r="N191" s="55" t="s">
        <v>352</v>
      </c>
      <c r="O191" s="55" t="s">
        <v>335</v>
      </c>
      <c r="P191" s="19" t="s">
        <v>241</v>
      </c>
      <c r="Q191" s="101">
        <f t="shared" si="13"/>
        <v>8.7696759255777579E-2</v>
      </c>
      <c r="R191" s="19" t="b">
        <v>1</v>
      </c>
      <c r="S191" s="19" t="b">
        <v>1</v>
      </c>
    </row>
    <row r="192" spans="1:22">
      <c r="A192" s="17">
        <v>41728.521145833336</v>
      </c>
      <c r="B192" s="18">
        <v>41728.521145833336</v>
      </c>
      <c r="C192" s="17">
        <v>41728.606226851851</v>
      </c>
      <c r="D192" s="18">
        <v>41728.606226851851</v>
      </c>
      <c r="E192" s="19">
        <v>43</v>
      </c>
      <c r="F192" s="57" t="s">
        <v>595</v>
      </c>
      <c r="G192" s="19" t="str">
        <f t="shared" si="10"/>
        <v>14172</v>
      </c>
      <c r="H192" s="19" t="s">
        <v>188</v>
      </c>
      <c r="I192" s="19" t="s">
        <v>189</v>
      </c>
      <c r="J192" s="19" t="s">
        <v>190</v>
      </c>
      <c r="K192" s="19" t="s">
        <v>191</v>
      </c>
      <c r="L192" s="19">
        <v>1091</v>
      </c>
      <c r="M192" s="19" t="str">
        <f t="shared" si="11"/>
        <v>Radio 14172_UnitID_1091</v>
      </c>
      <c r="N192" s="55" t="s">
        <v>352</v>
      </c>
      <c r="O192" s="55" t="s">
        <v>596</v>
      </c>
      <c r="P192" s="19" t="s">
        <v>241</v>
      </c>
      <c r="Q192" s="101">
        <f t="shared" si="13"/>
        <v>8.5081018514756579E-2</v>
      </c>
      <c r="R192" s="19" t="b">
        <v>1</v>
      </c>
      <c r="S192" s="19" t="b">
        <v>1</v>
      </c>
      <c r="V192" s="19" t="s">
        <v>597</v>
      </c>
    </row>
    <row r="193" spans="1:22">
      <c r="A193" s="17">
        <v>41728.521145833336</v>
      </c>
      <c r="B193" s="18">
        <v>41728.521145833336</v>
      </c>
      <c r="C193" s="17">
        <v>41728.591643518521</v>
      </c>
      <c r="D193" s="18">
        <v>41728.591643518521</v>
      </c>
      <c r="E193" s="19">
        <v>43</v>
      </c>
      <c r="F193" s="57" t="s">
        <v>598</v>
      </c>
      <c r="G193" s="19" t="str">
        <f t="shared" si="10"/>
        <v>13546</v>
      </c>
      <c r="H193" s="19" t="s">
        <v>244</v>
      </c>
      <c r="I193" s="19" t="s">
        <v>189</v>
      </c>
      <c r="J193" s="19" t="s">
        <v>190</v>
      </c>
      <c r="K193" s="19" t="s">
        <v>191</v>
      </c>
      <c r="L193" s="19">
        <v>1141</v>
      </c>
      <c r="M193" s="19" t="str">
        <f t="shared" si="11"/>
        <v>Radio 13546_UnitID_1141</v>
      </c>
      <c r="N193" s="55" t="s">
        <v>352</v>
      </c>
      <c r="O193" s="55"/>
      <c r="P193" s="19" t="s">
        <v>241</v>
      </c>
      <c r="Q193" s="101">
        <f t="shared" si="13"/>
        <v>7.0497685184818693E-2</v>
      </c>
      <c r="R193" s="19" t="b">
        <v>1</v>
      </c>
      <c r="S193" s="19" t="b">
        <v>1</v>
      </c>
      <c r="V193" s="55" t="s">
        <v>599</v>
      </c>
    </row>
    <row r="194" spans="1:22">
      <c r="A194" s="17">
        <v>41728.521145833336</v>
      </c>
      <c r="B194" s="18">
        <v>41728.521145833336</v>
      </c>
      <c r="C194" s="17">
        <v>41728.618993055556</v>
      </c>
      <c r="D194" s="18">
        <v>41728.618993055556</v>
      </c>
      <c r="E194" s="19">
        <v>43</v>
      </c>
      <c r="F194" s="57" t="s">
        <v>600</v>
      </c>
      <c r="G194" s="19" t="str">
        <f t="shared" si="10"/>
        <v>11972</v>
      </c>
      <c r="H194" s="19" t="s">
        <v>188</v>
      </c>
      <c r="I194" s="19" t="s">
        <v>189</v>
      </c>
      <c r="J194" s="19" t="s">
        <v>190</v>
      </c>
      <c r="K194" s="19" t="s">
        <v>191</v>
      </c>
      <c r="L194" s="19">
        <v>1471</v>
      </c>
      <c r="M194" s="19" t="str">
        <f t="shared" si="11"/>
        <v>Radio 11972_UnitID_1471</v>
      </c>
      <c r="N194" s="55" t="s">
        <v>352</v>
      </c>
      <c r="O194" s="55"/>
      <c r="P194" s="19" t="s">
        <v>241</v>
      </c>
      <c r="Q194" s="101">
        <f t="shared" si="13"/>
        <v>9.784722221957054E-2</v>
      </c>
      <c r="R194" s="19" t="b">
        <v>1</v>
      </c>
      <c r="S194" s="19" t="b">
        <v>1</v>
      </c>
    </row>
    <row r="195" spans="1:22" ht="45">
      <c r="A195" s="17">
        <v>41728.521145833336</v>
      </c>
      <c r="B195" s="18">
        <v>41728.521145833336</v>
      </c>
      <c r="C195" s="17">
        <v>41728.605486111112</v>
      </c>
      <c r="D195" s="18">
        <v>41728.605486111112</v>
      </c>
      <c r="E195" s="19">
        <v>43</v>
      </c>
      <c r="F195" s="57" t="s">
        <v>601</v>
      </c>
      <c r="G195" s="19" t="str">
        <f t="shared" ref="G195:G209" si="14">RIGHT(F195,5)</f>
        <v>13749</v>
      </c>
      <c r="H195" s="19" t="s">
        <v>188</v>
      </c>
      <c r="I195" s="19" t="s">
        <v>374</v>
      </c>
      <c r="J195" s="19" t="s">
        <v>190</v>
      </c>
      <c r="K195" s="19" t="s">
        <v>191</v>
      </c>
      <c r="L195" s="19">
        <v>1111</v>
      </c>
      <c r="M195" s="19" t="str">
        <f t="shared" si="11"/>
        <v>Radio 13749_UnitID_1111</v>
      </c>
      <c r="N195" s="55" t="s">
        <v>352</v>
      </c>
      <c r="O195" s="55"/>
      <c r="P195" s="19" t="s">
        <v>241</v>
      </c>
      <c r="Q195" s="101">
        <f t="shared" si="13"/>
        <v>8.4340277775481809E-2</v>
      </c>
      <c r="R195" s="19" t="b">
        <v>1</v>
      </c>
      <c r="S195" s="19" t="b">
        <v>1</v>
      </c>
      <c r="V195" s="55" t="s">
        <v>602</v>
      </c>
    </row>
    <row r="196" spans="1:22">
      <c r="A196" s="17">
        <v>41728.525185185186</v>
      </c>
      <c r="B196" s="18">
        <v>41728.525185185186</v>
      </c>
      <c r="C196" s="17">
        <v>41728.618263888886</v>
      </c>
      <c r="D196" s="18">
        <v>41728.618263888886</v>
      </c>
      <c r="E196" s="19">
        <v>43</v>
      </c>
      <c r="F196" s="57" t="s">
        <v>603</v>
      </c>
      <c r="G196" s="107" t="str">
        <f t="shared" si="14"/>
        <v>15645</v>
      </c>
      <c r="H196" s="107" t="s">
        <v>188</v>
      </c>
      <c r="I196" s="107" t="s">
        <v>189</v>
      </c>
      <c r="J196" s="107" t="s">
        <v>190</v>
      </c>
      <c r="K196" s="107" t="s">
        <v>191</v>
      </c>
      <c r="L196" s="107">
        <v>1081</v>
      </c>
      <c r="M196" s="107" t="str">
        <f>CONCATENATE("Radio ",G196,"_UnitID_",L196)</f>
        <v>Radio 15645_UnitID_1081</v>
      </c>
      <c r="N196" s="110" t="s">
        <v>352</v>
      </c>
      <c r="O196" s="110"/>
      <c r="P196" s="19" t="s">
        <v>605</v>
      </c>
      <c r="Q196" s="101">
        <f t="shared" si="13"/>
        <v>9.3078703699575271E-2</v>
      </c>
      <c r="R196" s="19" t="b">
        <v>1</v>
      </c>
      <c r="S196" s="19" t="b">
        <v>1</v>
      </c>
    </row>
    <row r="197" spans="1:22">
      <c r="A197" s="17">
        <v>41728.525185185186</v>
      </c>
      <c r="B197" s="18">
        <v>41728.525185185186</v>
      </c>
      <c r="C197" s="17">
        <v>41728.583877314813</v>
      </c>
      <c r="D197" s="18">
        <v>41728.583877314813</v>
      </c>
      <c r="E197" s="19">
        <v>43</v>
      </c>
      <c r="F197" s="57" t="s">
        <v>606</v>
      </c>
      <c r="G197" s="107" t="str">
        <f t="shared" si="14"/>
        <v>12157</v>
      </c>
      <c r="H197" s="107" t="s">
        <v>188</v>
      </c>
      <c r="I197" s="107" t="s">
        <v>189</v>
      </c>
      <c r="J197" s="107" t="s">
        <v>190</v>
      </c>
      <c r="K197" s="107" t="s">
        <v>191</v>
      </c>
      <c r="L197" s="107">
        <v>1431</v>
      </c>
      <c r="M197" s="107" t="str">
        <f t="shared" si="11"/>
        <v>Radio 12157_UnitID_1431</v>
      </c>
      <c r="N197" s="110" t="s">
        <v>352</v>
      </c>
      <c r="O197" s="110"/>
      <c r="P197" s="19" t="s">
        <v>605</v>
      </c>
      <c r="Q197" s="101">
        <f t="shared" si="13"/>
        <v>5.8692129627161194E-2</v>
      </c>
      <c r="R197" s="19" t="b">
        <v>1</v>
      </c>
      <c r="S197" s="19" t="b">
        <v>1</v>
      </c>
    </row>
    <row r="198" spans="1:22" ht="45">
      <c r="A198" s="17">
        <v>41728.525185185186</v>
      </c>
      <c r="B198" s="18">
        <v>41728.525185185186</v>
      </c>
      <c r="C198" s="17">
        <v>41728.596747685187</v>
      </c>
      <c r="D198" s="18">
        <v>41728.596747685187</v>
      </c>
      <c r="E198" s="19">
        <v>43</v>
      </c>
      <c r="F198" s="57" t="s">
        <v>607</v>
      </c>
      <c r="G198" s="107" t="str">
        <f t="shared" si="14"/>
        <v>85706</v>
      </c>
      <c r="H198" s="107" t="s">
        <v>188</v>
      </c>
      <c r="I198" s="107" t="s">
        <v>189</v>
      </c>
      <c r="J198" s="107" t="s">
        <v>190</v>
      </c>
      <c r="K198" s="107" t="s">
        <v>191</v>
      </c>
      <c r="L198" s="107">
        <v>1061</v>
      </c>
      <c r="M198" s="107" t="str">
        <f t="shared" si="11"/>
        <v>Radio 85706_UnitID_1061</v>
      </c>
      <c r="N198" s="110" t="s">
        <v>352</v>
      </c>
      <c r="O198" s="110" t="s">
        <v>608</v>
      </c>
      <c r="P198" s="19" t="s">
        <v>605</v>
      </c>
      <c r="Q198" s="101">
        <f t="shared" si="13"/>
        <v>7.1562500001164153E-2</v>
      </c>
      <c r="R198" s="19" t="b">
        <v>1</v>
      </c>
      <c r="S198" s="19" t="b">
        <v>1</v>
      </c>
      <c r="V198" s="19" t="s">
        <v>609</v>
      </c>
    </row>
    <row r="199" spans="1:22">
      <c r="A199" s="17">
        <v>41728.527442129627</v>
      </c>
      <c r="B199" s="18">
        <v>41728.527442129627</v>
      </c>
      <c r="C199" s="17">
        <v>41728.593310185184</v>
      </c>
      <c r="D199" s="18">
        <v>41728.593310185184</v>
      </c>
      <c r="E199" s="19">
        <v>43</v>
      </c>
      <c r="F199" s="57" t="s">
        <v>610</v>
      </c>
      <c r="G199" s="107" t="str">
        <f t="shared" si="14"/>
        <v>15650</v>
      </c>
      <c r="H199" s="107" t="s">
        <v>188</v>
      </c>
      <c r="I199" s="107" t="s">
        <v>189</v>
      </c>
      <c r="J199" s="107" t="s">
        <v>190</v>
      </c>
      <c r="K199" s="107" t="s">
        <v>191</v>
      </c>
      <c r="L199" s="107">
        <v>1261</v>
      </c>
      <c r="M199" s="107" t="str">
        <f t="shared" si="11"/>
        <v>Radio 15650_UnitID_1261</v>
      </c>
      <c r="N199" s="110" t="s">
        <v>352</v>
      </c>
      <c r="O199" s="110" t="s">
        <v>611</v>
      </c>
      <c r="P199" s="19" t="s">
        <v>193</v>
      </c>
      <c r="Q199" s="101">
        <f t="shared" si="13"/>
        <v>6.5868055557075422E-2</v>
      </c>
      <c r="R199" s="19" t="b">
        <v>1</v>
      </c>
      <c r="S199" s="19" t="b">
        <v>1</v>
      </c>
      <c r="V199" s="19" t="s">
        <v>612</v>
      </c>
    </row>
    <row r="200" spans="1:22">
      <c r="A200" s="17">
        <v>41728.527442129627</v>
      </c>
      <c r="B200" s="18">
        <v>41728.527442129627</v>
      </c>
      <c r="C200" s="17">
        <v>41728.610937500001</v>
      </c>
      <c r="D200" s="18">
        <v>41728.610937500001</v>
      </c>
      <c r="E200" s="19">
        <v>43</v>
      </c>
      <c r="F200" s="57" t="s">
        <v>613</v>
      </c>
      <c r="G200" s="107" t="str">
        <f t="shared" si="14"/>
        <v>15602</v>
      </c>
      <c r="H200" s="107" t="s">
        <v>188</v>
      </c>
      <c r="I200" s="107" t="s">
        <v>189</v>
      </c>
      <c r="J200" s="107" t="s">
        <v>190</v>
      </c>
      <c r="K200" s="107" t="s">
        <v>191</v>
      </c>
      <c r="L200" s="107">
        <v>1201</v>
      </c>
      <c r="M200" s="107" t="str">
        <f t="shared" si="11"/>
        <v>Radio 15602_UnitID_1201</v>
      </c>
      <c r="N200" s="110" t="s">
        <v>352</v>
      </c>
      <c r="O200" s="110" t="s">
        <v>521</v>
      </c>
      <c r="P200" s="19" t="s">
        <v>204</v>
      </c>
      <c r="Q200" s="101">
        <f t="shared" si="13"/>
        <v>8.3495370374293998E-2</v>
      </c>
      <c r="R200" s="19" t="b">
        <v>1</v>
      </c>
      <c r="S200" s="19" t="b">
        <v>1</v>
      </c>
    </row>
    <row r="201" spans="1:22">
      <c r="A201" s="17">
        <v>41728.527442129627</v>
      </c>
      <c r="B201" s="18">
        <v>41728.527442129627</v>
      </c>
      <c r="C201" s="17">
        <v>41728.584050925929</v>
      </c>
      <c r="D201" s="18">
        <v>41728.584050925929</v>
      </c>
      <c r="E201" s="19">
        <v>43</v>
      </c>
      <c r="F201" s="57" t="s">
        <v>614</v>
      </c>
      <c r="G201" s="107" t="str">
        <f t="shared" si="14"/>
        <v>13449</v>
      </c>
      <c r="H201" s="107" t="s">
        <v>188</v>
      </c>
      <c r="I201" s="107" t="s">
        <v>189</v>
      </c>
      <c r="J201" s="107" t="s">
        <v>190</v>
      </c>
      <c r="K201" s="107" t="s">
        <v>191</v>
      </c>
      <c r="L201" s="107">
        <v>1241</v>
      </c>
      <c r="M201" s="107" t="str">
        <f>CONCATENATE("Radio ",G201,"_UnitID_",L201)</f>
        <v>Radio 13449_UnitID_1241</v>
      </c>
      <c r="N201" s="110" t="s">
        <v>352</v>
      </c>
      <c r="O201" s="110"/>
      <c r="P201" s="19" t="s">
        <v>204</v>
      </c>
      <c r="Q201" s="101">
        <f t="shared" si="13"/>
        <v>5.6608796301588882E-2</v>
      </c>
      <c r="R201" s="19" t="b">
        <v>1</v>
      </c>
      <c r="S201" s="19" t="b">
        <v>1</v>
      </c>
    </row>
    <row r="202" spans="1:22">
      <c r="A202" s="17">
        <v>41728.527442129627</v>
      </c>
      <c r="B202" s="18">
        <v>41728.527442129627</v>
      </c>
      <c r="C202" s="17">
        <v>41728.623032407406</v>
      </c>
      <c r="D202" s="18">
        <v>41728.623032407406</v>
      </c>
      <c r="E202" s="19">
        <v>43</v>
      </c>
      <c r="F202" s="57" t="s">
        <v>615</v>
      </c>
      <c r="G202" s="107" t="str">
        <f t="shared" si="14"/>
        <v>15337</v>
      </c>
      <c r="H202" s="107" t="s">
        <v>188</v>
      </c>
      <c r="I202" s="107" t="s">
        <v>189</v>
      </c>
      <c r="J202" s="107" t="s">
        <v>190</v>
      </c>
      <c r="K202" s="107" t="s">
        <v>191</v>
      </c>
      <c r="L202" s="107">
        <v>1271</v>
      </c>
      <c r="M202" s="107" t="str">
        <f t="shared" si="11"/>
        <v>Radio 15337_UnitID_1271</v>
      </c>
      <c r="N202" s="110" t="s">
        <v>352</v>
      </c>
      <c r="O202" s="110" t="s">
        <v>523</v>
      </c>
      <c r="P202" s="19" t="s">
        <v>204</v>
      </c>
      <c r="Q202" s="101">
        <f t="shared" si="13"/>
        <v>9.559027777868323E-2</v>
      </c>
      <c r="R202" s="19" t="b">
        <v>1</v>
      </c>
      <c r="S202" s="19" t="b">
        <v>1</v>
      </c>
    </row>
    <row r="203" spans="1:22">
      <c r="A203" s="17">
        <v>41728.527442129627</v>
      </c>
      <c r="B203" s="18">
        <v>41728.527442129627</v>
      </c>
      <c r="C203" s="17">
        <v>41728.56391203704</v>
      </c>
      <c r="D203" s="18">
        <v>41728.56391203704</v>
      </c>
      <c r="E203" s="19">
        <v>44</v>
      </c>
      <c r="F203" s="57" t="s">
        <v>616</v>
      </c>
      <c r="G203" s="107" t="str">
        <f t="shared" si="14"/>
        <v>61922</v>
      </c>
      <c r="H203" s="107" t="s">
        <v>617</v>
      </c>
      <c r="I203" s="107" t="s">
        <v>187</v>
      </c>
      <c r="J203" s="107" t="s">
        <v>206</v>
      </c>
      <c r="K203" s="107" t="s">
        <v>226</v>
      </c>
      <c r="L203" s="107">
        <v>901</v>
      </c>
      <c r="M203" s="107" t="str">
        <f t="shared" si="11"/>
        <v>Radio 61922_UnitID_901</v>
      </c>
      <c r="N203" s="110" t="s">
        <v>352</v>
      </c>
      <c r="O203" s="110"/>
      <c r="P203" s="19" t="s">
        <v>619</v>
      </c>
      <c r="Q203" s="101">
        <f t="shared" si="13"/>
        <v>3.6469907412538305E-2</v>
      </c>
      <c r="R203" s="19" t="b">
        <v>1</v>
      </c>
      <c r="S203" s="19" t="b">
        <v>1</v>
      </c>
    </row>
    <row r="204" spans="1:22">
      <c r="A204" s="17">
        <v>41728.527442129627</v>
      </c>
      <c r="B204" s="18">
        <v>41728.527442129627</v>
      </c>
      <c r="C204" s="17">
        <v>41728.577256944445</v>
      </c>
      <c r="D204" s="18">
        <v>41728.577256944445</v>
      </c>
      <c r="E204" s="19">
        <v>44</v>
      </c>
      <c r="F204" s="57" t="s">
        <v>620</v>
      </c>
      <c r="G204" s="107" t="str">
        <f t="shared" si="14"/>
        <v>63485</v>
      </c>
      <c r="H204" s="107" t="s">
        <v>293</v>
      </c>
      <c r="I204" s="107" t="s">
        <v>187</v>
      </c>
      <c r="J204" s="107" t="s">
        <v>206</v>
      </c>
      <c r="K204" s="107" t="s">
        <v>226</v>
      </c>
      <c r="L204" s="107">
        <v>906</v>
      </c>
      <c r="M204" s="107" t="str">
        <f>CONCATENATE("Radio ",G204,"_UnitID_",L204)</f>
        <v>Radio 63485_UnitID_906</v>
      </c>
      <c r="N204" s="110" t="s">
        <v>618</v>
      </c>
      <c r="O204" s="110"/>
      <c r="P204" s="19" t="s">
        <v>619</v>
      </c>
      <c r="Q204" s="101">
        <f t="shared" si="13"/>
        <v>4.9814814818091691E-2</v>
      </c>
      <c r="R204" s="19" t="b">
        <v>1</v>
      </c>
      <c r="S204" s="19" t="b">
        <v>1</v>
      </c>
    </row>
    <row r="205" spans="1:22">
      <c r="A205" s="17">
        <v>41728.527442129627</v>
      </c>
      <c r="B205" s="18">
        <v>41728.527442129627</v>
      </c>
      <c r="C205" s="17">
        <v>41728.572326388887</v>
      </c>
      <c r="D205" s="18">
        <v>41728.572326388887</v>
      </c>
      <c r="E205" s="19">
        <v>44</v>
      </c>
      <c r="F205" s="57" t="s">
        <v>621</v>
      </c>
      <c r="G205" s="107" t="str">
        <f t="shared" si="14"/>
        <v>63498</v>
      </c>
      <c r="H205" s="107" t="s">
        <v>622</v>
      </c>
      <c r="I205" s="107" t="s">
        <v>187</v>
      </c>
      <c r="J205" s="107" t="s">
        <v>206</v>
      </c>
      <c r="K205" s="107" t="s">
        <v>226</v>
      </c>
      <c r="L205" s="107">
        <v>905</v>
      </c>
      <c r="M205" s="107" t="str">
        <f t="shared" si="11"/>
        <v>Radio 63498_UnitID_905</v>
      </c>
      <c r="N205" s="110" t="s">
        <v>618</v>
      </c>
      <c r="O205" s="110" t="s">
        <v>335</v>
      </c>
      <c r="P205" s="19" t="s">
        <v>619</v>
      </c>
      <c r="Q205" s="101">
        <f t="shared" si="13"/>
        <v>4.4884259259561077E-2</v>
      </c>
      <c r="R205" s="19" t="b">
        <v>1</v>
      </c>
      <c r="S205" s="19" t="b">
        <v>1</v>
      </c>
    </row>
    <row r="206" spans="1:22">
      <c r="A206" s="17">
        <v>41728.527442129627</v>
      </c>
      <c r="B206" s="18">
        <v>41728.527442129627</v>
      </c>
      <c r="C206" s="17">
        <v>41728.563125000001</v>
      </c>
      <c r="D206" s="18">
        <v>41728.563125000001</v>
      </c>
      <c r="E206" s="19">
        <v>44</v>
      </c>
      <c r="F206" s="57" t="s">
        <v>623</v>
      </c>
      <c r="G206" s="19" t="str">
        <f t="shared" si="14"/>
        <v>74454</v>
      </c>
      <c r="H206" s="19" t="s">
        <v>196</v>
      </c>
      <c r="I206" s="19" t="s">
        <v>187</v>
      </c>
      <c r="J206" s="19" t="s">
        <v>206</v>
      </c>
      <c r="K206" s="19" t="s">
        <v>226</v>
      </c>
      <c r="L206" s="19">
        <v>2902</v>
      </c>
      <c r="M206" s="19" t="str">
        <f t="shared" si="11"/>
        <v>Radio 74454_UnitID_2902</v>
      </c>
      <c r="N206" s="55" t="s">
        <v>618</v>
      </c>
      <c r="O206" s="55"/>
      <c r="P206" s="19" t="s">
        <v>241</v>
      </c>
      <c r="Q206" s="101">
        <f t="shared" si="13"/>
        <v>3.5682870373420883E-2</v>
      </c>
      <c r="R206" s="19" t="b">
        <v>1</v>
      </c>
      <c r="S206" s="19" t="b">
        <v>1</v>
      </c>
    </row>
    <row r="207" spans="1:22">
      <c r="A207" s="17">
        <v>41728.527442129627</v>
      </c>
      <c r="B207" s="18">
        <v>41728.527442129627</v>
      </c>
      <c r="C207" s="17">
        <v>41728.580069444448</v>
      </c>
      <c r="D207" s="18">
        <v>41728.580069444448</v>
      </c>
      <c r="E207" s="19">
        <v>44</v>
      </c>
      <c r="F207" s="57" t="s">
        <v>624</v>
      </c>
      <c r="G207" s="19" t="str">
        <f t="shared" si="14"/>
        <v>95159</v>
      </c>
      <c r="H207" s="19" t="s">
        <v>427</v>
      </c>
      <c r="I207" s="19" t="s">
        <v>187</v>
      </c>
      <c r="J207" s="19" t="s">
        <v>206</v>
      </c>
      <c r="K207" s="19" t="s">
        <v>226</v>
      </c>
      <c r="L207" s="19">
        <v>902</v>
      </c>
      <c r="M207" s="19" t="str">
        <f t="shared" si="11"/>
        <v>Radio 95159_UnitID_902</v>
      </c>
      <c r="N207" s="55" t="s">
        <v>618</v>
      </c>
      <c r="O207" s="55"/>
      <c r="P207" s="19" t="s">
        <v>193</v>
      </c>
      <c r="Q207" s="101">
        <f t="shared" si="13"/>
        <v>5.2627314820711035E-2</v>
      </c>
      <c r="R207" s="19" t="b">
        <v>1</v>
      </c>
      <c r="S207" s="19" t="b">
        <v>1</v>
      </c>
    </row>
    <row r="208" spans="1:22">
      <c r="A208" s="17">
        <v>41728.527442129627</v>
      </c>
      <c r="B208" s="18">
        <v>41728.527442129627</v>
      </c>
      <c r="C208" s="17">
        <v>41728.56287037037</v>
      </c>
      <c r="D208" s="18">
        <v>41728.56287037037</v>
      </c>
      <c r="E208" s="19">
        <v>44</v>
      </c>
      <c r="F208" s="57" t="s">
        <v>625</v>
      </c>
      <c r="G208" s="19" t="str">
        <f t="shared" si="14"/>
        <v>95149</v>
      </c>
      <c r="H208" s="19" t="s">
        <v>427</v>
      </c>
      <c r="I208" s="19" t="s">
        <v>187</v>
      </c>
      <c r="J208" s="19" t="s">
        <v>206</v>
      </c>
      <c r="K208" s="19" t="s">
        <v>226</v>
      </c>
      <c r="L208" s="19">
        <v>903</v>
      </c>
      <c r="M208" s="19" t="str">
        <f t="shared" si="11"/>
        <v>Radio 95149_UnitID_903</v>
      </c>
      <c r="N208" s="55" t="s">
        <v>618</v>
      </c>
      <c r="O208" s="55"/>
      <c r="P208" s="19" t="s">
        <v>241</v>
      </c>
      <c r="Q208" s="101">
        <f t="shared" si="13"/>
        <v>3.5428240742476191E-2</v>
      </c>
      <c r="R208" s="19" t="b">
        <v>1</v>
      </c>
      <c r="S208" s="19" t="b">
        <v>1</v>
      </c>
    </row>
    <row r="209" spans="1:22">
      <c r="A209" s="17">
        <v>41728.527442129627</v>
      </c>
      <c r="B209" s="18">
        <v>41728.527442129627</v>
      </c>
      <c r="C209" s="17">
        <v>41728.564976851849</v>
      </c>
      <c r="D209" s="18">
        <v>41728.564976851849</v>
      </c>
      <c r="E209" s="19">
        <v>44</v>
      </c>
      <c r="F209" s="57" t="s">
        <v>626</v>
      </c>
      <c r="G209" s="19" t="str">
        <f t="shared" si="14"/>
        <v>95082</v>
      </c>
      <c r="H209" s="19" t="s">
        <v>427</v>
      </c>
      <c r="I209" s="19" t="s">
        <v>187</v>
      </c>
      <c r="J209" s="19" t="s">
        <v>206</v>
      </c>
      <c r="K209" s="19" t="s">
        <v>226</v>
      </c>
      <c r="L209" s="19">
        <v>907</v>
      </c>
      <c r="M209" s="19" t="str">
        <f t="shared" si="11"/>
        <v>Radio 95082_UnitID_907</v>
      </c>
      <c r="N209" s="55" t="s">
        <v>618</v>
      </c>
      <c r="O209" s="55"/>
      <c r="P209" s="19" t="s">
        <v>221</v>
      </c>
      <c r="Q209" s="101">
        <f t="shared" si="13"/>
        <v>3.7534722221607808E-2</v>
      </c>
      <c r="R209" s="19" t="b">
        <v>1</v>
      </c>
      <c r="S209" s="19" t="b">
        <v>1</v>
      </c>
    </row>
    <row r="210" spans="1:22">
      <c r="A210" s="17">
        <v>41729.406365740739</v>
      </c>
      <c r="B210" s="18">
        <v>41729.406365740739</v>
      </c>
      <c r="C210" s="17">
        <v>41729.50273148148</v>
      </c>
      <c r="D210" s="18">
        <v>41729.50273148148</v>
      </c>
      <c r="E210" s="19">
        <v>45</v>
      </c>
      <c r="F210" s="57" t="s">
        <v>627</v>
      </c>
      <c r="G210" s="19" t="str">
        <f t="shared" ref="G210:G248" si="15">RIGHT(F210,5)</f>
        <v>13831</v>
      </c>
      <c r="H210" s="19" t="s">
        <v>188</v>
      </c>
      <c r="I210" s="19" t="s">
        <v>189</v>
      </c>
      <c r="J210" s="19" t="s">
        <v>190</v>
      </c>
      <c r="K210" s="19" t="s">
        <v>191</v>
      </c>
      <c r="L210" s="19">
        <v>5081</v>
      </c>
      <c r="M210" s="19" t="str">
        <f t="shared" ref="M210:M248" si="16">CONCATENATE("Radio ",G210,"_UnitID_",L210)</f>
        <v>Radio 13831_UnitID_5081</v>
      </c>
      <c r="N210" s="55" t="s">
        <v>582</v>
      </c>
      <c r="O210" s="55"/>
      <c r="P210" s="19" t="s">
        <v>204</v>
      </c>
      <c r="Q210" s="101">
        <f t="shared" ref="Q210:Q248" si="17">IF(D210-B210 &gt; 2,((D210-B210)-1.7),IF(D210-B210 &gt; 1,(D210-B210)-0.7,IF(D210-B210 &gt; 0.5,(D210-B210)-0.7,(D210-B210))))</f>
        <v>9.6365740741021E-2</v>
      </c>
      <c r="R210" s="19" t="b">
        <v>1</v>
      </c>
      <c r="S210" s="19" t="b">
        <v>1</v>
      </c>
    </row>
    <row r="211" spans="1:22">
      <c r="A211" s="17">
        <v>41729.407256944447</v>
      </c>
      <c r="B211" s="18">
        <v>41729.407256944447</v>
      </c>
      <c r="C211" s="17">
        <v>41729.503495370373</v>
      </c>
      <c r="D211" s="18">
        <v>41729.503495370373</v>
      </c>
      <c r="E211" s="19">
        <v>45</v>
      </c>
      <c r="F211" s="57" t="s">
        <v>628</v>
      </c>
      <c r="G211" s="19" t="str">
        <f t="shared" si="15"/>
        <v>83693</v>
      </c>
      <c r="H211" s="19" t="s">
        <v>188</v>
      </c>
      <c r="I211" s="19" t="s">
        <v>189</v>
      </c>
      <c r="J211" s="19" t="s">
        <v>190</v>
      </c>
      <c r="K211" s="19" t="s">
        <v>191</v>
      </c>
      <c r="L211" s="19">
        <v>5011</v>
      </c>
      <c r="M211" s="19" t="str">
        <f t="shared" si="16"/>
        <v>Radio 83693_UnitID_5011</v>
      </c>
      <c r="N211" s="55" t="s">
        <v>582</v>
      </c>
      <c r="O211" s="55"/>
      <c r="P211" s="19" t="s">
        <v>204</v>
      </c>
      <c r="Q211" s="101">
        <f t="shared" si="17"/>
        <v>9.6238425925548654E-2</v>
      </c>
      <c r="R211" s="19" t="b">
        <v>1</v>
      </c>
      <c r="S211" s="19" t="b">
        <v>1</v>
      </c>
    </row>
    <row r="212" spans="1:22">
      <c r="A212" s="17">
        <v>41729.407638888886</v>
      </c>
      <c r="B212" s="18">
        <v>41729.407638888886</v>
      </c>
      <c r="C212" s="17">
        <v>41729.565243055556</v>
      </c>
      <c r="D212" s="18">
        <v>41729.565243055556</v>
      </c>
      <c r="E212" s="19">
        <v>45</v>
      </c>
      <c r="F212" s="57" t="s">
        <v>629</v>
      </c>
      <c r="G212" s="19" t="str">
        <f t="shared" si="15"/>
        <v>15705</v>
      </c>
      <c r="H212" s="19" t="s">
        <v>188</v>
      </c>
      <c r="I212" s="19" t="s">
        <v>189</v>
      </c>
      <c r="J212" s="19" t="s">
        <v>190</v>
      </c>
      <c r="K212" s="19" t="s">
        <v>191</v>
      </c>
      <c r="L212" s="19">
        <v>5071</v>
      </c>
      <c r="M212" s="19" t="str">
        <f t="shared" si="16"/>
        <v>Radio 15705_UnitID_5071</v>
      </c>
      <c r="N212" s="55" t="s">
        <v>582</v>
      </c>
      <c r="O212" s="55" t="s">
        <v>517</v>
      </c>
      <c r="P212" s="19" t="s">
        <v>204</v>
      </c>
      <c r="Q212" s="101">
        <f t="shared" si="17"/>
        <v>0.15760416667035315</v>
      </c>
      <c r="R212" s="19" t="b">
        <v>1</v>
      </c>
      <c r="S212" s="19" t="b">
        <v>1</v>
      </c>
    </row>
    <row r="213" spans="1:22">
      <c r="A213" s="17">
        <v>41729.408263888887</v>
      </c>
      <c r="B213" s="18">
        <v>41729.408263888887</v>
      </c>
      <c r="C213" s="17">
        <v>41729.504467592589</v>
      </c>
      <c r="D213" s="18">
        <v>41729.504467592589</v>
      </c>
      <c r="E213" s="19">
        <v>46</v>
      </c>
      <c r="F213" s="57" t="s">
        <v>630</v>
      </c>
      <c r="G213" s="19" t="str">
        <f t="shared" si="15"/>
        <v>15716</v>
      </c>
      <c r="H213" s="19" t="s">
        <v>188</v>
      </c>
      <c r="I213" s="19" t="s">
        <v>189</v>
      </c>
      <c r="J213" s="19" t="s">
        <v>190</v>
      </c>
      <c r="K213" s="19" t="s">
        <v>191</v>
      </c>
      <c r="L213" s="19">
        <v>4421</v>
      </c>
      <c r="M213" s="19" t="str">
        <f t="shared" si="16"/>
        <v>Radio 15716_UnitID_4421</v>
      </c>
      <c r="N213" s="55" t="s">
        <v>631</v>
      </c>
      <c r="O213" s="55"/>
      <c r="P213" s="19" t="s">
        <v>204</v>
      </c>
      <c r="Q213" s="101">
        <f t="shared" si="17"/>
        <v>9.6203703702485655E-2</v>
      </c>
      <c r="R213" s="19" t="b">
        <v>1</v>
      </c>
      <c r="S213" s="19" t="b">
        <v>1</v>
      </c>
    </row>
    <row r="214" spans="1:22">
      <c r="A214" s="17">
        <v>41729.412835648145</v>
      </c>
      <c r="B214" s="18">
        <v>41729.412835648145</v>
      </c>
      <c r="C214" s="17">
        <v>41729.506192129629</v>
      </c>
      <c r="D214" s="18">
        <v>41729.506192129629</v>
      </c>
      <c r="E214" s="19">
        <v>46</v>
      </c>
      <c r="F214" s="57" t="s">
        <v>632</v>
      </c>
      <c r="G214" s="19" t="str">
        <f t="shared" si="15"/>
        <v>85970</v>
      </c>
      <c r="H214" s="19" t="s">
        <v>188</v>
      </c>
      <c r="I214" s="19" t="s">
        <v>189</v>
      </c>
      <c r="J214" s="19" t="s">
        <v>190</v>
      </c>
      <c r="K214" s="19" t="s">
        <v>191</v>
      </c>
      <c r="L214" s="19">
        <v>4411</v>
      </c>
      <c r="M214" s="19" t="str">
        <f t="shared" si="16"/>
        <v>Radio 85970_UnitID_4411</v>
      </c>
      <c r="N214" s="55" t="s">
        <v>631</v>
      </c>
      <c r="O214" s="55"/>
      <c r="P214" s="19" t="s">
        <v>204</v>
      </c>
      <c r="Q214" s="101">
        <f t="shared" si="17"/>
        <v>9.3356481484079268E-2</v>
      </c>
      <c r="R214" s="19" t="b">
        <v>1</v>
      </c>
      <c r="S214" s="19" t="b">
        <v>1</v>
      </c>
    </row>
    <row r="215" spans="1:22">
      <c r="A215" s="17">
        <v>41729.413206018522</v>
      </c>
      <c r="B215" s="18">
        <v>41729.413206018522</v>
      </c>
      <c r="C215" s="17">
        <v>41729.507685185185</v>
      </c>
      <c r="D215" s="18">
        <v>41729.507685185185</v>
      </c>
      <c r="E215" s="19">
        <v>46</v>
      </c>
      <c r="F215" s="57" t="s">
        <v>633</v>
      </c>
      <c r="G215" s="19" t="str">
        <f t="shared" si="15"/>
        <v>86146</v>
      </c>
      <c r="H215" s="19" t="s">
        <v>196</v>
      </c>
      <c r="I215" s="19" t="s">
        <v>187</v>
      </c>
      <c r="J215" s="19" t="s">
        <v>206</v>
      </c>
      <c r="K215" s="19" t="s">
        <v>226</v>
      </c>
      <c r="L215" s="19">
        <v>4431</v>
      </c>
      <c r="M215" s="19" t="str">
        <f t="shared" si="16"/>
        <v>Radio 86146_UnitID_4431</v>
      </c>
      <c r="N215" s="55" t="s">
        <v>631</v>
      </c>
      <c r="O215" s="55"/>
      <c r="P215" s="19" t="s">
        <v>193</v>
      </c>
      <c r="Q215" s="101">
        <f t="shared" si="17"/>
        <v>9.4479166662495118E-2</v>
      </c>
      <c r="R215" s="19" t="b">
        <v>1</v>
      </c>
      <c r="S215" s="19" t="b">
        <v>1</v>
      </c>
      <c r="V215" s="19" t="s">
        <v>664</v>
      </c>
    </row>
    <row r="216" spans="1:22">
      <c r="A216" s="17">
        <v>41729.413900462961</v>
      </c>
      <c r="B216" s="18">
        <v>41729.413900462961</v>
      </c>
      <c r="C216" s="17">
        <v>41729.510127314818</v>
      </c>
      <c r="D216" s="18">
        <v>41729.510127314818</v>
      </c>
      <c r="E216" s="19">
        <v>46</v>
      </c>
      <c r="F216" s="57" t="s">
        <v>634</v>
      </c>
      <c r="G216" s="19" t="str">
        <f t="shared" si="15"/>
        <v>62584</v>
      </c>
      <c r="H216" s="19" t="s">
        <v>196</v>
      </c>
      <c r="I216" s="19" t="s">
        <v>187</v>
      </c>
      <c r="J216" s="19" t="s">
        <v>206</v>
      </c>
      <c r="K216" s="19" t="s">
        <v>226</v>
      </c>
      <c r="L216" s="19">
        <v>4441</v>
      </c>
      <c r="M216" s="19" t="str">
        <f t="shared" si="16"/>
        <v>Radio 62584_UnitID_4441</v>
      </c>
      <c r="N216" s="55" t="s">
        <v>631</v>
      </c>
      <c r="O216" s="55"/>
      <c r="P216" s="19" t="s">
        <v>204</v>
      </c>
      <c r="Q216" s="101">
        <f t="shared" si="17"/>
        <v>9.6226851856044959E-2</v>
      </c>
      <c r="R216" s="19" t="b">
        <v>1</v>
      </c>
      <c r="S216" s="19" t="b">
        <v>1</v>
      </c>
    </row>
    <row r="217" spans="1:22" ht="30">
      <c r="A217" s="17">
        <v>41729.417384259257</v>
      </c>
      <c r="B217" s="18">
        <v>41729.417384259257</v>
      </c>
      <c r="C217" s="17">
        <v>41729.558923611112</v>
      </c>
      <c r="D217" s="18">
        <v>41729.558923611112</v>
      </c>
      <c r="E217" s="19">
        <v>47</v>
      </c>
      <c r="F217" s="57" t="s">
        <v>635</v>
      </c>
      <c r="G217" s="19" t="str">
        <f t="shared" si="15"/>
        <v>63180</v>
      </c>
      <c r="H217" s="19" t="s">
        <v>636</v>
      </c>
      <c r="I217" s="19" t="s">
        <v>239</v>
      </c>
      <c r="J217" s="19" t="s">
        <v>190</v>
      </c>
      <c r="K217" s="19" t="s">
        <v>191</v>
      </c>
      <c r="L217" s="19">
        <v>2091</v>
      </c>
      <c r="M217" s="19" t="str">
        <f t="shared" si="16"/>
        <v>Radio 63180_UnitID_2091</v>
      </c>
      <c r="N217" s="55" t="s">
        <v>637</v>
      </c>
      <c r="O217" s="55" t="s">
        <v>342</v>
      </c>
      <c r="P217" s="19" t="s">
        <v>241</v>
      </c>
      <c r="Q217" s="101">
        <f t="shared" si="17"/>
        <v>0.14153935185458977</v>
      </c>
      <c r="R217" s="19" t="b">
        <v>1</v>
      </c>
      <c r="S217" s="19" t="b">
        <v>1</v>
      </c>
      <c r="V217" s="19" t="s">
        <v>667</v>
      </c>
    </row>
    <row r="218" spans="1:22" ht="30">
      <c r="A218" s="17">
        <v>41729.42355324074</v>
      </c>
      <c r="B218" s="18">
        <v>41729.42355324074</v>
      </c>
      <c r="C218" s="17">
        <v>41729.560671296298</v>
      </c>
      <c r="D218" s="18">
        <v>41729.560671296298</v>
      </c>
      <c r="E218" s="19">
        <v>47</v>
      </c>
      <c r="F218" s="57" t="s">
        <v>639</v>
      </c>
      <c r="G218" s="19" t="str">
        <f t="shared" si="15"/>
        <v>63204</v>
      </c>
      <c r="H218" s="19" t="s">
        <v>238</v>
      </c>
      <c r="I218" s="19" t="s">
        <v>239</v>
      </c>
      <c r="J218" s="19" t="s">
        <v>190</v>
      </c>
      <c r="K218" s="19" t="s">
        <v>191</v>
      </c>
      <c r="L218" s="19">
        <v>2032</v>
      </c>
      <c r="M218" s="19" t="str">
        <f t="shared" si="16"/>
        <v>Radio 63204_UnitID_2032</v>
      </c>
      <c r="N218" s="55" t="s">
        <v>637</v>
      </c>
      <c r="O218" s="55" t="s">
        <v>668</v>
      </c>
      <c r="P218" s="19" t="s">
        <v>241</v>
      </c>
      <c r="Q218" s="101">
        <f t="shared" si="17"/>
        <v>0.13711805555794854</v>
      </c>
      <c r="R218" s="19" t="b">
        <v>1</v>
      </c>
      <c r="S218" s="19" t="b">
        <v>1</v>
      </c>
    </row>
    <row r="219" spans="1:22">
      <c r="A219" s="17">
        <v>41729.42391203704</v>
      </c>
      <c r="B219" s="18">
        <v>41729.42391203704</v>
      </c>
      <c r="C219" s="17">
        <v>41729.512129629627</v>
      </c>
      <c r="D219" s="18">
        <v>41729.512129629627</v>
      </c>
      <c r="E219" s="19">
        <v>47</v>
      </c>
      <c r="F219" s="57" t="s">
        <v>640</v>
      </c>
      <c r="G219" s="19" t="str">
        <f t="shared" si="15"/>
        <v>63184</v>
      </c>
      <c r="H219" s="19" t="s">
        <v>238</v>
      </c>
      <c r="I219" s="19" t="s">
        <v>239</v>
      </c>
      <c r="J219" s="19" t="s">
        <v>190</v>
      </c>
      <c r="K219" s="19" t="s">
        <v>191</v>
      </c>
      <c r="L219" s="19">
        <v>2071</v>
      </c>
      <c r="M219" s="19" t="str">
        <f t="shared" si="16"/>
        <v>Radio 63184_UnitID_2071</v>
      </c>
      <c r="N219" s="55" t="s">
        <v>637</v>
      </c>
      <c r="O219" s="55"/>
      <c r="P219" s="19" t="s">
        <v>204</v>
      </c>
      <c r="Q219" s="101">
        <f t="shared" si="17"/>
        <v>8.8217592587170657E-2</v>
      </c>
      <c r="R219" s="19" t="b">
        <v>1</v>
      </c>
      <c r="S219" s="19" t="b">
        <v>1</v>
      </c>
    </row>
    <row r="220" spans="1:22" ht="30">
      <c r="A220" s="17">
        <v>41729.424386574072</v>
      </c>
      <c r="B220" s="18">
        <v>41729.424386574072</v>
      </c>
      <c r="C220" s="17">
        <v>41729.549120370371</v>
      </c>
      <c r="D220" s="18">
        <v>41729.549120370371</v>
      </c>
      <c r="E220" s="19">
        <v>47</v>
      </c>
      <c r="F220" s="57" t="s">
        <v>641</v>
      </c>
      <c r="G220" s="19" t="str">
        <f t="shared" si="15"/>
        <v>63229</v>
      </c>
      <c r="H220" s="19" t="s">
        <v>238</v>
      </c>
      <c r="I220" s="19" t="s">
        <v>239</v>
      </c>
      <c r="J220" s="19" t="s">
        <v>190</v>
      </c>
      <c r="K220" s="19" t="s">
        <v>191</v>
      </c>
      <c r="L220" s="19">
        <v>2051</v>
      </c>
      <c r="M220" s="19" t="str">
        <f t="shared" si="16"/>
        <v>Radio 63229_UnitID_2051</v>
      </c>
      <c r="N220" s="55" t="s">
        <v>637</v>
      </c>
      <c r="O220" s="55" t="s">
        <v>342</v>
      </c>
      <c r="P220" s="19" t="s">
        <v>221</v>
      </c>
      <c r="Q220" s="101">
        <f t="shared" si="17"/>
        <v>0.12473379629955161</v>
      </c>
      <c r="R220" s="19" t="b">
        <v>1</v>
      </c>
      <c r="S220" s="19" t="b">
        <v>1</v>
      </c>
    </row>
    <row r="221" spans="1:22">
      <c r="A221" s="17">
        <v>41729.455706018518</v>
      </c>
      <c r="B221" s="18">
        <v>41729.455706018518</v>
      </c>
      <c r="C221" s="17">
        <v>41729.562534722223</v>
      </c>
      <c r="D221" s="18">
        <v>41729.562534722223</v>
      </c>
      <c r="E221" s="19">
        <v>48</v>
      </c>
      <c r="F221" s="57" t="s">
        <v>642</v>
      </c>
      <c r="G221" s="19" t="str">
        <f t="shared" si="15"/>
        <v>13245</v>
      </c>
      <c r="H221" s="19" t="s">
        <v>188</v>
      </c>
      <c r="I221" s="19" t="s">
        <v>245</v>
      </c>
      <c r="J221" s="19" t="s">
        <v>190</v>
      </c>
      <c r="K221" s="19" t="s">
        <v>191</v>
      </c>
      <c r="L221" s="19">
        <v>1001</v>
      </c>
      <c r="M221" s="19" t="str">
        <f t="shared" si="16"/>
        <v>Radio 13245_UnitID_1001</v>
      </c>
      <c r="N221" s="55" t="s">
        <v>352</v>
      </c>
      <c r="O221" s="55"/>
      <c r="P221" s="19" t="s">
        <v>241</v>
      </c>
      <c r="Q221" s="101">
        <f t="shared" si="17"/>
        <v>0.106828703705105</v>
      </c>
      <c r="R221" s="19" t="b">
        <v>1</v>
      </c>
      <c r="S221" s="19" t="b">
        <v>1</v>
      </c>
    </row>
    <row r="222" spans="1:22" ht="30">
      <c r="A222" s="17">
        <v>41729.456377314818</v>
      </c>
      <c r="B222" s="18">
        <v>41729.456377314818</v>
      </c>
      <c r="C222" s="17">
        <v>41729.547615740739</v>
      </c>
      <c r="D222" s="18">
        <v>41729.547615740739</v>
      </c>
      <c r="E222" s="19">
        <v>48</v>
      </c>
      <c r="F222" s="57" t="s">
        <v>643</v>
      </c>
      <c r="G222" s="19" t="str">
        <f t="shared" si="15"/>
        <v>95456</v>
      </c>
      <c r="H222" s="19" t="s">
        <v>188</v>
      </c>
      <c r="I222" s="19" t="s">
        <v>189</v>
      </c>
      <c r="J222" s="19" t="s">
        <v>190</v>
      </c>
      <c r="K222" s="19" t="s">
        <v>191</v>
      </c>
      <c r="L222" s="19">
        <v>1121</v>
      </c>
      <c r="M222" s="19" t="str">
        <f t="shared" si="16"/>
        <v>Radio 95456_UnitID_1121</v>
      </c>
      <c r="N222" s="55" t="s">
        <v>352</v>
      </c>
      <c r="O222" s="55" t="s">
        <v>342</v>
      </c>
      <c r="P222" s="19" t="s">
        <v>241</v>
      </c>
      <c r="Q222" s="101">
        <f t="shared" si="17"/>
        <v>9.1238425920892041E-2</v>
      </c>
      <c r="R222" s="19" t="b">
        <v>1</v>
      </c>
      <c r="S222" s="19" t="b">
        <v>1</v>
      </c>
    </row>
    <row r="223" spans="1:22">
      <c r="A223" s="17">
        <v>41729.456817129627</v>
      </c>
      <c r="B223" s="18">
        <v>41729.456817129627</v>
      </c>
      <c r="C223" s="17">
        <v>41729.539039351854</v>
      </c>
      <c r="D223" s="18">
        <v>41729.539039351854</v>
      </c>
      <c r="E223" s="19">
        <v>48</v>
      </c>
      <c r="F223" s="57" t="s">
        <v>644</v>
      </c>
      <c r="G223" s="19" t="str">
        <f t="shared" si="15"/>
        <v>17278</v>
      </c>
      <c r="H223" s="19" t="s">
        <v>238</v>
      </c>
      <c r="I223" s="19" t="s">
        <v>245</v>
      </c>
      <c r="J223" s="19" t="s">
        <v>190</v>
      </c>
      <c r="K223" s="19" t="s">
        <v>191</v>
      </c>
      <c r="L223" s="19">
        <v>2981</v>
      </c>
      <c r="M223" s="19" t="str">
        <f t="shared" si="16"/>
        <v>Radio 17278_UnitID_2981</v>
      </c>
      <c r="N223" s="55" t="s">
        <v>352</v>
      </c>
      <c r="O223" s="55" t="s">
        <v>335</v>
      </c>
      <c r="P223" s="19" t="s">
        <v>193</v>
      </c>
      <c r="Q223" s="101">
        <f t="shared" si="17"/>
        <v>8.2222222226846498E-2</v>
      </c>
      <c r="R223" s="19" t="b">
        <v>1</v>
      </c>
      <c r="S223" s="19" t="b">
        <v>1</v>
      </c>
    </row>
    <row r="224" spans="1:22">
      <c r="A224" s="17">
        <v>41729.457557870373</v>
      </c>
      <c r="B224" s="18">
        <v>41729.457557870373</v>
      </c>
      <c r="C224" s="17">
        <v>41729.543553240743</v>
      </c>
      <c r="D224" s="18">
        <v>41729.543553240743</v>
      </c>
      <c r="E224" s="19">
        <v>49</v>
      </c>
      <c r="F224" s="57" t="s">
        <v>645</v>
      </c>
      <c r="G224" s="19" t="str">
        <f t="shared" si="15"/>
        <v>13889</v>
      </c>
      <c r="H224" s="19" t="s">
        <v>188</v>
      </c>
      <c r="I224" s="19" t="s">
        <v>189</v>
      </c>
      <c r="J224" s="19" t="s">
        <v>190</v>
      </c>
      <c r="K224" s="19" t="s">
        <v>191</v>
      </c>
      <c r="L224" s="19">
        <v>1021</v>
      </c>
      <c r="M224" s="19" t="str">
        <f t="shared" si="16"/>
        <v>Radio 13889_UnitID_1021</v>
      </c>
      <c r="N224" s="55" t="s">
        <v>352</v>
      </c>
      <c r="O224" s="55" t="s">
        <v>665</v>
      </c>
      <c r="P224" s="19" t="s">
        <v>241</v>
      </c>
      <c r="Q224" s="101">
        <f t="shared" si="17"/>
        <v>8.5995370369346347E-2</v>
      </c>
      <c r="R224" s="19" t="b">
        <v>1</v>
      </c>
      <c r="S224" s="19" t="b">
        <v>1</v>
      </c>
    </row>
    <row r="225" spans="1:22" ht="30">
      <c r="A225" s="17">
        <v>41729.461261574077</v>
      </c>
      <c r="B225" s="18">
        <v>41729.461261574077</v>
      </c>
      <c r="C225" s="17">
        <v>41729.544583333336</v>
      </c>
      <c r="D225" s="18">
        <v>41729.544583333336</v>
      </c>
      <c r="E225" s="19">
        <v>49</v>
      </c>
      <c r="F225" s="57" t="s">
        <v>646</v>
      </c>
      <c r="G225" s="19" t="str">
        <f t="shared" si="15"/>
        <v>12066</v>
      </c>
      <c r="H225" s="19" t="s">
        <v>238</v>
      </c>
      <c r="I225" s="19" t="s">
        <v>189</v>
      </c>
      <c r="J225" s="19" t="s">
        <v>190</v>
      </c>
      <c r="K225" s="19" t="s">
        <v>191</v>
      </c>
      <c r="L225" s="19">
        <v>1051</v>
      </c>
      <c r="M225" s="19" t="str">
        <f t="shared" si="16"/>
        <v>Radio 12066_UnitID_1051</v>
      </c>
      <c r="N225" s="55" t="s">
        <v>352</v>
      </c>
      <c r="O225" s="55" t="s">
        <v>342</v>
      </c>
      <c r="P225" s="19" t="s">
        <v>241</v>
      </c>
      <c r="Q225" s="101">
        <f t="shared" si="17"/>
        <v>8.3321759258979E-2</v>
      </c>
      <c r="R225" s="19" t="b">
        <v>1</v>
      </c>
      <c r="S225" s="19" t="b">
        <v>1</v>
      </c>
    </row>
    <row r="226" spans="1:22">
      <c r="A226" s="17">
        <v>41729.461631944447</v>
      </c>
      <c r="B226" s="18">
        <v>41729.461631944447</v>
      </c>
      <c r="C226" s="17">
        <v>41729.540486111109</v>
      </c>
      <c r="D226" s="18">
        <v>41729.540486111109</v>
      </c>
      <c r="E226" s="19">
        <v>49</v>
      </c>
      <c r="F226" s="57" t="s">
        <v>647</v>
      </c>
      <c r="G226" s="107" t="str">
        <f t="shared" si="15"/>
        <v>13556</v>
      </c>
      <c r="H226" s="107" t="s">
        <v>188</v>
      </c>
      <c r="I226" s="107" t="s">
        <v>189</v>
      </c>
      <c r="J226" s="107" t="s">
        <v>190</v>
      </c>
      <c r="K226" s="107" t="s">
        <v>191</v>
      </c>
      <c r="L226" s="107">
        <v>1401</v>
      </c>
      <c r="M226" s="107" t="str">
        <f>CONCATENATE("Radio ",G226,"_UnitID_",L226)</f>
        <v>Radio 13556_UnitID_1401</v>
      </c>
      <c r="N226" s="110" t="s">
        <v>352</v>
      </c>
      <c r="O226" s="110"/>
      <c r="P226" s="19" t="s">
        <v>241</v>
      </c>
      <c r="Q226" s="101">
        <f t="shared" si="17"/>
        <v>7.8854166662495118E-2</v>
      </c>
      <c r="R226" s="19" t="b">
        <v>1</v>
      </c>
      <c r="S226" s="19" t="b">
        <v>1</v>
      </c>
    </row>
    <row r="227" spans="1:22" ht="30">
      <c r="A227" s="17">
        <v>41729.462071759262</v>
      </c>
      <c r="B227" s="18">
        <v>41729.462071759262</v>
      </c>
      <c r="C227" s="17">
        <v>41729.546157407407</v>
      </c>
      <c r="D227" s="18">
        <v>41729.546157407407</v>
      </c>
      <c r="E227" s="19">
        <v>50</v>
      </c>
      <c r="F227" s="57" t="s">
        <v>648</v>
      </c>
      <c r="G227" s="107" t="str">
        <f t="shared" si="15"/>
        <v>15395</v>
      </c>
      <c r="H227" s="107" t="s">
        <v>188</v>
      </c>
      <c r="I227" s="107" t="s">
        <v>189</v>
      </c>
      <c r="J227" s="107" t="s">
        <v>190</v>
      </c>
      <c r="K227" s="107" t="s">
        <v>191</v>
      </c>
      <c r="L227" s="107">
        <v>1101</v>
      </c>
      <c r="M227" s="107" t="str">
        <f t="shared" si="16"/>
        <v>Radio 15395_UnitID_1101</v>
      </c>
      <c r="N227" s="110" t="s">
        <v>352</v>
      </c>
      <c r="O227" s="110" t="s">
        <v>342</v>
      </c>
      <c r="P227" s="19" t="s">
        <v>279</v>
      </c>
      <c r="Q227" s="101">
        <f t="shared" si="17"/>
        <v>8.4085648144537117E-2</v>
      </c>
      <c r="R227" s="19" t="b">
        <v>1</v>
      </c>
      <c r="S227" s="19" t="b">
        <v>1</v>
      </c>
      <c r="V227" s="19" t="s">
        <v>638</v>
      </c>
    </row>
    <row r="228" spans="1:22" ht="30">
      <c r="A228" s="17">
        <v>41729.464629629627</v>
      </c>
      <c r="B228" s="18">
        <v>41729.464629629627</v>
      </c>
      <c r="C228" s="17">
        <v>41729.542164351849</v>
      </c>
      <c r="D228" s="18">
        <v>41729.542164351849</v>
      </c>
      <c r="E228" s="19">
        <v>50</v>
      </c>
      <c r="F228" s="57" t="s">
        <v>649</v>
      </c>
      <c r="G228" s="107" t="str">
        <f t="shared" si="15"/>
        <v>85979</v>
      </c>
      <c r="H228" s="107" t="s">
        <v>188</v>
      </c>
      <c r="I228" s="107" t="s">
        <v>189</v>
      </c>
      <c r="J228" s="107" t="s">
        <v>190</v>
      </c>
      <c r="K228" s="107" t="s">
        <v>191</v>
      </c>
      <c r="L228" s="107">
        <v>1071</v>
      </c>
      <c r="M228" s="107" t="str">
        <f t="shared" si="16"/>
        <v>Radio 85979_UnitID_1071</v>
      </c>
      <c r="N228" s="110" t="s">
        <v>352</v>
      </c>
      <c r="O228" s="110" t="s">
        <v>342</v>
      </c>
      <c r="P228" s="19" t="s">
        <v>241</v>
      </c>
      <c r="Q228" s="101">
        <f t="shared" si="17"/>
        <v>7.7534722222480923E-2</v>
      </c>
      <c r="R228" s="19" t="b">
        <v>1</v>
      </c>
      <c r="S228" s="19" t="b">
        <v>1</v>
      </c>
      <c r="V228" s="19" t="s">
        <v>638</v>
      </c>
    </row>
    <row r="229" spans="1:22">
      <c r="A229" s="17">
        <v>41729.472199074073</v>
      </c>
      <c r="B229" s="18">
        <v>41729.472199074073</v>
      </c>
      <c r="C229" s="17">
        <v>41729.538703703707</v>
      </c>
      <c r="D229" s="18">
        <v>41729.538703703707</v>
      </c>
      <c r="E229" s="19">
        <v>51</v>
      </c>
      <c r="F229" s="57" t="s">
        <v>650</v>
      </c>
      <c r="G229" s="107" t="str">
        <f t="shared" si="15"/>
        <v>62885</v>
      </c>
      <c r="H229" s="107" t="s">
        <v>323</v>
      </c>
      <c r="I229" s="107" t="s">
        <v>187</v>
      </c>
      <c r="J229" s="107" t="s">
        <v>206</v>
      </c>
      <c r="K229" s="107" t="s">
        <v>226</v>
      </c>
      <c r="L229" s="107">
        <v>1032</v>
      </c>
      <c r="M229" s="107" t="str">
        <f t="shared" si="16"/>
        <v>Radio 62885_UnitID_1032</v>
      </c>
      <c r="N229" s="110" t="s">
        <v>352</v>
      </c>
      <c r="O229" s="110" t="s">
        <v>569</v>
      </c>
      <c r="P229" s="19" t="s">
        <v>241</v>
      </c>
      <c r="Q229" s="101">
        <f t="shared" si="17"/>
        <v>6.6504629634437151E-2</v>
      </c>
      <c r="R229" s="19" t="b">
        <v>1</v>
      </c>
      <c r="S229" s="19" t="b">
        <v>1</v>
      </c>
      <c r="V229" s="19" t="s">
        <v>664</v>
      </c>
    </row>
    <row r="230" spans="1:22">
      <c r="A230" s="17">
        <v>41729.48709490741</v>
      </c>
      <c r="B230" s="18">
        <v>41729.48709490741</v>
      </c>
      <c r="C230" s="17">
        <v>41729.633819444447</v>
      </c>
      <c r="D230" s="18">
        <v>41729.633819444447</v>
      </c>
      <c r="E230" s="19">
        <v>52</v>
      </c>
      <c r="F230" s="57" t="s">
        <v>651</v>
      </c>
      <c r="G230" s="107" t="str">
        <f t="shared" si="15"/>
        <v>14200</v>
      </c>
      <c r="H230" s="107" t="s">
        <v>188</v>
      </c>
      <c r="I230" s="107" t="s">
        <v>189</v>
      </c>
      <c r="J230" s="107" t="s">
        <v>190</v>
      </c>
      <c r="K230" s="107" t="s">
        <v>191</v>
      </c>
      <c r="L230" s="107">
        <v>5433</v>
      </c>
      <c r="M230" s="107" t="str">
        <f t="shared" si="16"/>
        <v>Radio 14200_UnitID_5433</v>
      </c>
      <c r="N230" s="110" t="s">
        <v>631</v>
      </c>
      <c r="O230" s="110"/>
      <c r="P230" s="19" t="s">
        <v>279</v>
      </c>
      <c r="Q230" s="101">
        <f t="shared" si="17"/>
        <v>0.14672453703678912</v>
      </c>
      <c r="R230" s="19" t="b">
        <v>1</v>
      </c>
      <c r="S230" s="19" t="b">
        <v>1</v>
      </c>
    </row>
    <row r="231" spans="1:22" ht="45">
      <c r="A231" s="17">
        <v>41729.496666666666</v>
      </c>
      <c r="B231" s="18">
        <v>41729.496666666666</v>
      </c>
      <c r="C231" s="17">
        <v>41729.644872685189</v>
      </c>
      <c r="D231" s="18">
        <v>41729.644872685189</v>
      </c>
      <c r="E231" s="19">
        <v>52</v>
      </c>
      <c r="F231" s="57" t="s">
        <v>652</v>
      </c>
      <c r="G231" s="107" t="str">
        <f t="shared" si="15"/>
        <v>14187</v>
      </c>
      <c r="H231" s="107" t="s">
        <v>188</v>
      </c>
      <c r="I231" s="107" t="s">
        <v>189</v>
      </c>
      <c r="J231" s="107" t="s">
        <v>190</v>
      </c>
      <c r="K231" s="107" t="s">
        <v>191</v>
      </c>
      <c r="L231" s="107">
        <v>5431</v>
      </c>
      <c r="M231" s="107" t="str">
        <f t="shared" si="16"/>
        <v>Radio 14187_UnitID_5431</v>
      </c>
      <c r="N231" s="110" t="s">
        <v>631</v>
      </c>
      <c r="O231" s="110" t="s">
        <v>670</v>
      </c>
      <c r="P231" s="19" t="s">
        <v>279</v>
      </c>
      <c r="Q231" s="101">
        <f t="shared" si="17"/>
        <v>0.14820601852261461</v>
      </c>
      <c r="R231" s="19" t="b">
        <v>1</v>
      </c>
      <c r="S231" s="19" t="b">
        <v>1</v>
      </c>
    </row>
    <row r="232" spans="1:22">
      <c r="A232" s="17">
        <v>41729.497013888889</v>
      </c>
      <c r="B232" s="18">
        <v>41729.497013888889</v>
      </c>
      <c r="C232" s="17">
        <v>41729.635925925926</v>
      </c>
      <c r="D232" s="18">
        <v>41729.635925925926</v>
      </c>
      <c r="E232" s="19">
        <v>52</v>
      </c>
      <c r="F232" s="57" t="s">
        <v>653</v>
      </c>
      <c r="G232" s="107" t="str">
        <f t="shared" si="15"/>
        <v>15515</v>
      </c>
      <c r="H232" s="107" t="s">
        <v>188</v>
      </c>
      <c r="I232" s="107" t="s">
        <v>189</v>
      </c>
      <c r="J232" s="107" t="s">
        <v>190</v>
      </c>
      <c r="K232" s="107" t="s">
        <v>191</v>
      </c>
      <c r="L232" s="107">
        <v>5462</v>
      </c>
      <c r="M232" s="107" t="str">
        <f t="shared" si="16"/>
        <v>Radio 15515_UnitID_5462</v>
      </c>
      <c r="N232" s="110" t="s">
        <v>631</v>
      </c>
      <c r="O232" s="110" t="s">
        <v>335</v>
      </c>
      <c r="P232" s="19" t="s">
        <v>279</v>
      </c>
      <c r="Q232" s="101">
        <f t="shared" si="17"/>
        <v>0.13891203703678912</v>
      </c>
      <c r="R232" s="19" t="b">
        <v>1</v>
      </c>
      <c r="S232" s="19" t="b">
        <v>1</v>
      </c>
    </row>
    <row r="233" spans="1:22">
      <c r="A233" s="17">
        <v>41729.497361111113</v>
      </c>
      <c r="B233" s="18">
        <v>41729.497361111113</v>
      </c>
      <c r="C233" s="17">
        <v>41729.64775462963</v>
      </c>
      <c r="D233" s="18">
        <v>41729.64775462963</v>
      </c>
      <c r="E233" s="19">
        <v>52</v>
      </c>
      <c r="F233" s="57" t="s">
        <v>654</v>
      </c>
      <c r="G233" s="107" t="str">
        <f t="shared" si="15"/>
        <v>15583</v>
      </c>
      <c r="H233" s="107" t="s">
        <v>188</v>
      </c>
      <c r="I233" s="107" t="s">
        <v>189</v>
      </c>
      <c r="J233" s="107" t="s">
        <v>190</v>
      </c>
      <c r="K233" s="107" t="s">
        <v>191</v>
      </c>
      <c r="L233" s="107">
        <v>5441</v>
      </c>
      <c r="M233" s="107" t="str">
        <f t="shared" si="16"/>
        <v>Radio 15583_UnitID_5441</v>
      </c>
      <c r="N233" s="110" t="s">
        <v>631</v>
      </c>
      <c r="O233" s="110" t="s">
        <v>672</v>
      </c>
      <c r="P233" s="19" t="s">
        <v>538</v>
      </c>
      <c r="Q233" s="101">
        <f t="shared" si="17"/>
        <v>0.15039351851737592</v>
      </c>
      <c r="R233" s="19" t="b">
        <v>1</v>
      </c>
      <c r="S233" s="19" t="b">
        <v>1</v>
      </c>
    </row>
    <row r="234" spans="1:22">
      <c r="A234" s="17">
        <v>41729.497731481482</v>
      </c>
      <c r="B234" s="18">
        <v>41729.497731481482</v>
      </c>
      <c r="C234" s="17">
        <v>41729.645972222221</v>
      </c>
      <c r="D234" s="18">
        <v>41729.645972222221</v>
      </c>
      <c r="E234" s="19">
        <v>52</v>
      </c>
      <c r="F234" s="57" t="s">
        <v>655</v>
      </c>
      <c r="G234" s="107" t="str">
        <f t="shared" si="15"/>
        <v>13647</v>
      </c>
      <c r="H234" s="107" t="s">
        <v>188</v>
      </c>
      <c r="I234" s="107" t="s">
        <v>189</v>
      </c>
      <c r="J234" s="107" t="s">
        <v>190</v>
      </c>
      <c r="K234" s="107" t="s">
        <v>191</v>
      </c>
      <c r="L234" s="107">
        <v>5491</v>
      </c>
      <c r="M234" s="107" t="str">
        <f t="shared" si="16"/>
        <v>Radio 13647_UnitID_5491</v>
      </c>
      <c r="N234" s="110" t="s">
        <v>631</v>
      </c>
      <c r="O234" s="110" t="s">
        <v>520</v>
      </c>
      <c r="P234" s="19" t="s">
        <v>538</v>
      </c>
      <c r="Q234" s="101">
        <f t="shared" si="17"/>
        <v>0.14824074073840166</v>
      </c>
      <c r="R234" s="19" t="b">
        <v>1</v>
      </c>
      <c r="S234" s="19" t="b">
        <v>1</v>
      </c>
      <c r="V234" s="19" t="s">
        <v>669</v>
      </c>
    </row>
    <row r="235" spans="1:22">
      <c r="A235" s="17">
        <v>41729.498067129629</v>
      </c>
      <c r="B235" s="18">
        <v>41729.498067129629</v>
      </c>
      <c r="C235" s="17">
        <v>41729.565428240741</v>
      </c>
      <c r="D235" s="18">
        <v>41729.565428240741</v>
      </c>
      <c r="E235" s="19">
        <v>52</v>
      </c>
      <c r="F235" s="57" t="s">
        <v>656</v>
      </c>
      <c r="G235" s="107" t="str">
        <f t="shared" si="15"/>
        <v>15127</v>
      </c>
      <c r="H235" s="107" t="s">
        <v>188</v>
      </c>
      <c r="I235" s="107" t="s">
        <v>189</v>
      </c>
      <c r="J235" s="107" t="s">
        <v>190</v>
      </c>
      <c r="K235" s="107" t="s">
        <v>191</v>
      </c>
      <c r="L235" s="107">
        <v>5481</v>
      </c>
      <c r="M235" s="107" t="str">
        <f>CONCATENATE("Radio ",G235,"_UnitID_",L235)</f>
        <v>Radio 15127_UnitID_5481</v>
      </c>
      <c r="N235" s="110" t="s">
        <v>631</v>
      </c>
      <c r="O235" s="110"/>
      <c r="P235" s="19" t="s">
        <v>538</v>
      </c>
      <c r="Q235" s="101">
        <f t="shared" si="17"/>
        <v>6.7361111112404615E-2</v>
      </c>
      <c r="R235" s="19" t="b">
        <v>1</v>
      </c>
      <c r="S235" s="19" t="b">
        <v>1</v>
      </c>
      <c r="V235" s="19" t="s">
        <v>669</v>
      </c>
    </row>
    <row r="236" spans="1:22">
      <c r="A236" s="17">
        <v>41729.498391203706</v>
      </c>
      <c r="B236" s="18">
        <v>41729.498391203706</v>
      </c>
      <c r="C236" s="17">
        <v>41729.632951388892</v>
      </c>
      <c r="D236" s="18">
        <v>41729.632951388892</v>
      </c>
      <c r="E236" s="19">
        <v>52</v>
      </c>
      <c r="F236" s="57" t="s">
        <v>657</v>
      </c>
      <c r="G236" s="107" t="str">
        <f t="shared" si="15"/>
        <v>14160</v>
      </c>
      <c r="H236" s="107" t="s">
        <v>188</v>
      </c>
      <c r="I236" s="107" t="s">
        <v>189</v>
      </c>
      <c r="J236" s="107" t="s">
        <v>190</v>
      </c>
      <c r="K236" s="107" t="s">
        <v>191</v>
      </c>
      <c r="L236" s="107">
        <v>5434</v>
      </c>
      <c r="M236" s="107" t="str">
        <f t="shared" si="16"/>
        <v>Radio 14160_UnitID_5434</v>
      </c>
      <c r="N236" s="110" t="s">
        <v>631</v>
      </c>
      <c r="O236" s="110"/>
      <c r="P236" s="19" t="s">
        <v>538</v>
      </c>
      <c r="Q236" s="101">
        <f t="shared" si="17"/>
        <v>0.13456018518627388</v>
      </c>
      <c r="R236" s="19" t="b">
        <v>1</v>
      </c>
      <c r="S236" s="19" t="b">
        <v>1</v>
      </c>
    </row>
    <row r="237" spans="1:22">
      <c r="A237" s="17">
        <v>41729.498703703706</v>
      </c>
      <c r="B237" s="18">
        <v>41729.498703703706</v>
      </c>
      <c r="C237" s="17">
        <v>41729.635347222225</v>
      </c>
      <c r="D237" s="18">
        <v>41729.635347222225</v>
      </c>
      <c r="E237" s="19">
        <v>52</v>
      </c>
      <c r="F237" s="57" t="s">
        <v>658</v>
      </c>
      <c r="G237" s="107" t="str">
        <f t="shared" si="15"/>
        <v>15410</v>
      </c>
      <c r="H237" s="107" t="s">
        <v>188</v>
      </c>
      <c r="I237" s="107" t="s">
        <v>189</v>
      </c>
      <c r="J237" s="107" t="s">
        <v>190</v>
      </c>
      <c r="K237" s="107" t="s">
        <v>191</v>
      </c>
      <c r="L237" s="107">
        <v>5442</v>
      </c>
      <c r="M237" s="107" t="str">
        <f t="shared" si="16"/>
        <v>Radio 15410_UnitID_5442</v>
      </c>
      <c r="N237" s="110" t="s">
        <v>631</v>
      </c>
      <c r="O237" s="110"/>
      <c r="P237" s="19" t="s">
        <v>538</v>
      </c>
      <c r="Q237" s="101">
        <f t="shared" si="17"/>
        <v>0.13664351851912215</v>
      </c>
      <c r="R237" s="19" t="b">
        <v>1</v>
      </c>
      <c r="S237" s="19" t="b">
        <v>1</v>
      </c>
    </row>
    <row r="238" spans="1:22" ht="30">
      <c r="A238" s="17">
        <v>41729.499097222222</v>
      </c>
      <c r="B238" s="18">
        <v>41729.499097222222</v>
      </c>
      <c r="C238" s="17">
        <v>41729.646886574075</v>
      </c>
      <c r="D238" s="18">
        <v>41729.646886574075</v>
      </c>
      <c r="E238" s="19">
        <v>52</v>
      </c>
      <c r="F238" s="57" t="s">
        <v>659</v>
      </c>
      <c r="G238" s="107" t="str">
        <f t="shared" si="15"/>
        <v>16012</v>
      </c>
      <c r="H238" s="107" t="s">
        <v>188</v>
      </c>
      <c r="I238" s="107" t="s">
        <v>189</v>
      </c>
      <c r="J238" s="107" t="s">
        <v>190</v>
      </c>
      <c r="K238" s="107" t="s">
        <v>191</v>
      </c>
      <c r="L238" s="107">
        <v>5435</v>
      </c>
      <c r="M238" s="107" t="str">
        <f t="shared" si="16"/>
        <v>Radio 16012_UnitID_5435</v>
      </c>
      <c r="N238" s="110" t="s">
        <v>631</v>
      </c>
      <c r="O238" s="110" t="s">
        <v>671</v>
      </c>
      <c r="P238" s="19" t="s">
        <v>538</v>
      </c>
      <c r="Q238" s="101">
        <f t="shared" si="17"/>
        <v>0.14778935185313458</v>
      </c>
      <c r="R238" s="19" t="b">
        <v>1</v>
      </c>
      <c r="S238" s="19" t="b">
        <v>1</v>
      </c>
    </row>
    <row r="239" spans="1:22">
      <c r="A239" s="17">
        <v>41729.499421296299</v>
      </c>
      <c r="B239" s="18">
        <v>41729.499421296299</v>
      </c>
      <c r="C239" s="17">
        <v>41729.643321759257</v>
      </c>
      <c r="D239" s="18">
        <v>41729.643321759257</v>
      </c>
      <c r="E239" s="19">
        <v>52</v>
      </c>
      <c r="F239" s="57" t="s">
        <v>660</v>
      </c>
      <c r="G239" s="107" t="str">
        <f t="shared" si="15"/>
        <v>16013</v>
      </c>
      <c r="H239" s="107" t="s">
        <v>188</v>
      </c>
      <c r="I239" s="107" t="s">
        <v>189</v>
      </c>
      <c r="J239" s="107" t="s">
        <v>190</v>
      </c>
      <c r="K239" s="107" t="s">
        <v>191</v>
      </c>
      <c r="L239" s="107">
        <v>5461</v>
      </c>
      <c r="M239" s="107" t="str">
        <f>CONCATENATE("Radio ",G239,"_UnitID_",L239)</f>
        <v>Radio 16013_UnitID_5461</v>
      </c>
      <c r="N239" s="110" t="s">
        <v>631</v>
      </c>
      <c r="O239" s="110"/>
      <c r="P239" s="19" t="s">
        <v>538</v>
      </c>
      <c r="Q239" s="101">
        <f t="shared" si="17"/>
        <v>0.14390046295739012</v>
      </c>
      <c r="R239" s="19" t="b">
        <v>1</v>
      </c>
      <c r="S239" s="19" t="b">
        <v>1</v>
      </c>
    </row>
    <row r="240" spans="1:22">
      <c r="A240" s="17">
        <v>41729.500069444446</v>
      </c>
      <c r="B240" s="18">
        <v>41729.500069444446</v>
      </c>
      <c r="C240" s="17">
        <v>41729.565300925926</v>
      </c>
      <c r="D240" s="18">
        <v>41729.565300925926</v>
      </c>
      <c r="E240" s="19">
        <v>52</v>
      </c>
      <c r="F240" s="57" t="s">
        <v>661</v>
      </c>
      <c r="G240" s="19" t="str">
        <f t="shared" si="15"/>
        <v>13865</v>
      </c>
      <c r="H240" s="19" t="s">
        <v>188</v>
      </c>
      <c r="I240" s="19" t="s">
        <v>189</v>
      </c>
      <c r="J240" s="19" t="s">
        <v>190</v>
      </c>
      <c r="K240" s="19" t="s">
        <v>191</v>
      </c>
      <c r="L240" s="19">
        <v>4532</v>
      </c>
      <c r="M240" s="19" t="str">
        <f t="shared" si="16"/>
        <v>Radio 13865_UnitID_4532</v>
      </c>
      <c r="N240" s="55" t="s">
        <v>631</v>
      </c>
      <c r="O240" s="55"/>
      <c r="P240" s="19" t="s">
        <v>538</v>
      </c>
      <c r="Q240" s="101">
        <f t="shared" si="17"/>
        <v>6.5231481479713693E-2</v>
      </c>
      <c r="R240" s="19" t="b">
        <v>1</v>
      </c>
      <c r="S240" s="19" t="b">
        <v>1</v>
      </c>
    </row>
    <row r="241" spans="1:22">
      <c r="A241" s="17">
        <v>41729.500347222223</v>
      </c>
      <c r="B241" s="18">
        <v>41729.500347222223</v>
      </c>
      <c r="C241" s="17">
        <v>41729.634513888886</v>
      </c>
      <c r="D241" s="18">
        <v>41729.634513888886</v>
      </c>
      <c r="E241" s="19">
        <v>52</v>
      </c>
      <c r="F241" s="57" t="s">
        <v>662</v>
      </c>
      <c r="G241" s="19" t="str">
        <f t="shared" si="15"/>
        <v>15653</v>
      </c>
      <c r="H241" s="19" t="s">
        <v>188</v>
      </c>
      <c r="I241" s="19" t="s">
        <v>189</v>
      </c>
      <c r="J241" s="19" t="s">
        <v>190</v>
      </c>
      <c r="K241" s="19" t="s">
        <v>191</v>
      </c>
      <c r="L241" s="19">
        <v>5451</v>
      </c>
      <c r="M241" s="19" t="str">
        <f t="shared" si="16"/>
        <v>Radio 15653_UnitID_5451</v>
      </c>
      <c r="N241" s="55" t="s">
        <v>631</v>
      </c>
      <c r="O241" s="55"/>
      <c r="P241" s="19" t="s">
        <v>538</v>
      </c>
      <c r="Q241" s="101">
        <f t="shared" si="17"/>
        <v>0.13416666666307719</v>
      </c>
      <c r="R241" s="19" t="b">
        <v>1</v>
      </c>
      <c r="S241" s="19" t="b">
        <v>1</v>
      </c>
    </row>
    <row r="242" spans="1:22">
      <c r="A242" s="17">
        <v>41729.500671296293</v>
      </c>
      <c r="B242" s="18">
        <v>41729.500671296293</v>
      </c>
      <c r="C242" s="17">
        <v>41729.633032407408</v>
      </c>
      <c r="D242" s="18">
        <v>41729.633032407408</v>
      </c>
      <c r="E242" s="19">
        <v>52</v>
      </c>
      <c r="F242" s="57" t="s">
        <v>663</v>
      </c>
      <c r="G242" s="19" t="str">
        <f t="shared" si="15"/>
        <v>15469</v>
      </c>
      <c r="H242" s="19" t="s">
        <v>188</v>
      </c>
      <c r="I242" s="19" t="s">
        <v>189</v>
      </c>
      <c r="J242" s="19" t="s">
        <v>190</v>
      </c>
      <c r="K242" s="19" t="s">
        <v>191</v>
      </c>
      <c r="L242" s="19">
        <v>5471</v>
      </c>
      <c r="M242" s="19" t="str">
        <f t="shared" si="16"/>
        <v>Radio 15469_UnitID_5471</v>
      </c>
      <c r="N242" s="55" t="s">
        <v>631</v>
      </c>
      <c r="O242" s="55"/>
      <c r="P242" s="19" t="s">
        <v>538</v>
      </c>
      <c r="Q242" s="101">
        <f t="shared" si="17"/>
        <v>0.13236111111473292</v>
      </c>
      <c r="R242" s="19" t="b">
        <v>1</v>
      </c>
      <c r="S242" s="19" t="b">
        <v>1</v>
      </c>
    </row>
    <row r="243" spans="1:22" ht="30">
      <c r="A243" s="17">
        <v>41729.551631944443</v>
      </c>
      <c r="B243" s="18">
        <v>41729.551631944443</v>
      </c>
      <c r="C243" s="17">
        <v>41729.558703703704</v>
      </c>
      <c r="D243" s="18">
        <v>41729.558703703704</v>
      </c>
      <c r="F243" s="57" t="s">
        <v>666</v>
      </c>
      <c r="G243" s="19" t="str">
        <f t="shared" si="15"/>
        <v>13727</v>
      </c>
      <c r="H243" s="19" t="s">
        <v>188</v>
      </c>
      <c r="I243" s="19" t="s">
        <v>189</v>
      </c>
      <c r="J243" s="19" t="s">
        <v>190</v>
      </c>
      <c r="K243" s="19" t="s">
        <v>191</v>
      </c>
      <c r="L243" s="19">
        <v>2021</v>
      </c>
      <c r="M243" s="19" t="str">
        <f t="shared" si="16"/>
        <v>Radio 13727_UnitID_2021</v>
      </c>
      <c r="N243" s="55" t="s">
        <v>637</v>
      </c>
      <c r="O243" s="55" t="s">
        <v>342</v>
      </c>
      <c r="P243" s="19" t="s">
        <v>241</v>
      </c>
      <c r="Q243" s="101">
        <f t="shared" si="17"/>
        <v>7.07175926072523E-3</v>
      </c>
      <c r="R243" s="19" t="b">
        <v>1</v>
      </c>
      <c r="S243" s="19" t="b">
        <v>1</v>
      </c>
    </row>
    <row r="244" spans="1:22">
      <c r="A244" s="17">
        <v>41729.658379629633</v>
      </c>
      <c r="B244" s="18">
        <v>41729.658379629633</v>
      </c>
      <c r="C244" s="17">
        <v>41729.728784722225</v>
      </c>
      <c r="D244" s="18">
        <v>41729.728784722225</v>
      </c>
      <c r="E244" s="19">
        <v>53</v>
      </c>
      <c r="F244" s="57" t="s">
        <v>673</v>
      </c>
      <c r="G244" s="19" t="str">
        <f t="shared" si="15"/>
        <v>13642</v>
      </c>
      <c r="H244" s="19" t="s">
        <v>188</v>
      </c>
      <c r="I244" s="19" t="s">
        <v>189</v>
      </c>
      <c r="J244" s="19" t="s">
        <v>190</v>
      </c>
      <c r="K244" s="19" t="s">
        <v>191</v>
      </c>
      <c r="L244" s="19">
        <v>6341</v>
      </c>
      <c r="M244" s="19" t="str">
        <f t="shared" si="16"/>
        <v>Radio 13642_UnitID_6341</v>
      </c>
      <c r="N244" s="55" t="s">
        <v>674</v>
      </c>
      <c r="O244" s="55" t="s">
        <v>521</v>
      </c>
      <c r="P244" s="19" t="s">
        <v>675</v>
      </c>
      <c r="Q244" s="101">
        <f t="shared" si="17"/>
        <v>7.0405092592409346E-2</v>
      </c>
      <c r="R244" s="19" t="b">
        <v>1</v>
      </c>
      <c r="S244" s="19" t="b">
        <v>1</v>
      </c>
    </row>
    <row r="245" spans="1:22">
      <c r="A245" s="17">
        <v>41729.659155092595</v>
      </c>
      <c r="B245" s="18">
        <v>41729.659155092595</v>
      </c>
      <c r="C245" s="17">
        <v>41729.720983796295</v>
      </c>
      <c r="D245" s="18">
        <v>41729.720983796295</v>
      </c>
      <c r="E245" s="19">
        <v>53</v>
      </c>
      <c r="F245" s="57" t="s">
        <v>676</v>
      </c>
      <c r="G245" s="19" t="str">
        <f t="shared" si="15"/>
        <v>15874</v>
      </c>
      <c r="H245" s="19" t="s">
        <v>188</v>
      </c>
      <c r="I245" s="19" t="s">
        <v>189</v>
      </c>
      <c r="J245" s="19" t="s">
        <v>190</v>
      </c>
      <c r="K245" s="19" t="s">
        <v>191</v>
      </c>
      <c r="L245" s="19">
        <v>6321</v>
      </c>
      <c r="M245" s="19" t="str">
        <f t="shared" si="16"/>
        <v>Radio 15874_UnitID_6321</v>
      </c>
      <c r="N245" s="55" t="s">
        <v>674</v>
      </c>
      <c r="O245" s="55"/>
      <c r="P245" s="19" t="s">
        <v>675</v>
      </c>
      <c r="Q245" s="101">
        <f t="shared" si="17"/>
        <v>6.1828703699575271E-2</v>
      </c>
      <c r="R245" s="19" t="b">
        <v>1</v>
      </c>
      <c r="S245" s="19" t="b">
        <v>1</v>
      </c>
    </row>
    <row r="246" spans="1:22">
      <c r="A246" s="17">
        <v>41729.659548611111</v>
      </c>
      <c r="B246" s="18">
        <v>41729.659548611111</v>
      </c>
      <c r="C246" s="17">
        <v>41729.721967592595</v>
      </c>
      <c r="D246" s="18">
        <v>41729.721967592595</v>
      </c>
      <c r="E246" s="19">
        <v>53</v>
      </c>
      <c r="F246" s="57" t="s">
        <v>677</v>
      </c>
      <c r="G246" s="19" t="str">
        <f t="shared" si="15"/>
        <v>16023</v>
      </c>
      <c r="H246" s="19" t="s">
        <v>188</v>
      </c>
      <c r="I246" s="19" t="s">
        <v>189</v>
      </c>
      <c r="J246" s="19" t="s">
        <v>190</v>
      </c>
      <c r="K246" s="19" t="s">
        <v>191</v>
      </c>
      <c r="L246" s="19">
        <v>6331</v>
      </c>
      <c r="M246" s="19" t="str">
        <f t="shared" si="16"/>
        <v>Radio 16023_UnitID_6331</v>
      </c>
      <c r="N246" s="55" t="s">
        <v>674</v>
      </c>
      <c r="O246" s="55"/>
      <c r="P246" s="19" t="s">
        <v>675</v>
      </c>
      <c r="Q246" s="101">
        <f t="shared" si="17"/>
        <v>6.2418981484370306E-2</v>
      </c>
      <c r="R246" s="19" t="b">
        <v>1</v>
      </c>
      <c r="S246" s="19" t="b">
        <v>1</v>
      </c>
    </row>
    <row r="247" spans="1:22">
      <c r="A247" s="17">
        <v>41729.659872685188</v>
      </c>
      <c r="B247" s="18">
        <v>41729.659872685188</v>
      </c>
      <c r="C247" s="17">
        <v>41729.720127314817</v>
      </c>
      <c r="D247" s="18">
        <v>41729.720127314817</v>
      </c>
      <c r="E247" s="19">
        <v>53</v>
      </c>
      <c r="F247" s="57" t="s">
        <v>678</v>
      </c>
      <c r="G247" s="19" t="str">
        <f t="shared" si="15"/>
        <v>15382</v>
      </c>
      <c r="H247" s="19" t="s">
        <v>188</v>
      </c>
      <c r="I247" s="19" t="s">
        <v>189</v>
      </c>
      <c r="J247" s="19" t="s">
        <v>190</v>
      </c>
      <c r="K247" s="19" t="s">
        <v>191</v>
      </c>
      <c r="L247" s="19">
        <v>6311</v>
      </c>
      <c r="M247" s="19" t="str">
        <f t="shared" si="16"/>
        <v>Radio 15382_UnitID_6311</v>
      </c>
      <c r="N247" s="55" t="s">
        <v>674</v>
      </c>
      <c r="O247" s="55"/>
      <c r="P247" s="19" t="s">
        <v>679</v>
      </c>
      <c r="Q247" s="101">
        <f t="shared" si="17"/>
        <v>6.0254629628616385E-2</v>
      </c>
      <c r="R247" s="19" t="b">
        <v>1</v>
      </c>
      <c r="S247" s="19" t="b">
        <v>1</v>
      </c>
    </row>
    <row r="248" spans="1:22">
      <c r="A248" s="17">
        <v>41729.660555555558</v>
      </c>
      <c r="B248" s="18">
        <v>41729.660555555558</v>
      </c>
      <c r="C248" s="17">
        <v>41729.722928240742</v>
      </c>
      <c r="D248" s="18">
        <v>41729.722928240742</v>
      </c>
      <c r="E248" s="19">
        <v>53</v>
      </c>
      <c r="F248" s="57" t="s">
        <v>680</v>
      </c>
      <c r="G248" s="19" t="str">
        <f t="shared" si="15"/>
        <v>66340</v>
      </c>
      <c r="H248" s="19" t="s">
        <v>196</v>
      </c>
      <c r="I248" s="19" t="s">
        <v>187</v>
      </c>
      <c r="J248" s="19" t="s">
        <v>190</v>
      </c>
      <c r="K248" s="19" t="s">
        <v>191</v>
      </c>
      <c r="L248" s="19">
        <v>6351</v>
      </c>
      <c r="M248" s="19" t="str">
        <f t="shared" si="16"/>
        <v>Radio 66340_UnitID_6351</v>
      </c>
      <c r="N248" s="55" t="s">
        <v>674</v>
      </c>
      <c r="O248" s="55" t="s">
        <v>681</v>
      </c>
      <c r="P248" s="19" t="s">
        <v>221</v>
      </c>
      <c r="Q248" s="101">
        <f t="shared" si="17"/>
        <v>6.2372685184527654E-2</v>
      </c>
      <c r="R248" s="19" t="b">
        <v>1</v>
      </c>
      <c r="S248" s="19" t="b">
        <v>1</v>
      </c>
    </row>
    <row r="249" spans="1:22">
      <c r="A249" s="17">
        <v>41730.346574074072</v>
      </c>
      <c r="B249" s="18">
        <v>41730.346574074072</v>
      </c>
      <c r="C249" s="17">
        <v>41732.529918981483</v>
      </c>
      <c r="D249" s="18">
        <v>41732.529918981483</v>
      </c>
      <c r="E249" s="19">
        <v>54</v>
      </c>
      <c r="F249" s="57" t="s">
        <v>682</v>
      </c>
      <c r="G249" s="19" t="str">
        <f t="shared" ref="G249:G280" si="18">RIGHT(F249,5)</f>
        <v>91635</v>
      </c>
      <c r="H249" s="19" t="s">
        <v>188</v>
      </c>
      <c r="I249" s="19" t="s">
        <v>245</v>
      </c>
      <c r="J249" s="19" t="s">
        <v>190</v>
      </c>
      <c r="K249" s="19" t="s">
        <v>191</v>
      </c>
      <c r="L249" s="19">
        <v>3012</v>
      </c>
      <c r="M249" s="19" t="str">
        <f t="shared" ref="M249:M263" si="19">CONCATENATE("Radio ",G249,"_UnitID_",L249)</f>
        <v>Radio 91635_UnitID_3012</v>
      </c>
      <c r="N249" s="55" t="s">
        <v>253</v>
      </c>
      <c r="O249" s="55" t="s">
        <v>379</v>
      </c>
      <c r="P249" s="19" t="s">
        <v>683</v>
      </c>
      <c r="Q249" s="101">
        <f>IF(D249-B249 &gt; 2,((D249-B249)-1.7),IF(D249-B249 &gt; 1,(D249-B249)-0.7,IF(D249-B249 &gt; 0.5,(D249-B249)-0.7,(D249-B249))))</f>
        <v>0.48334490741108316</v>
      </c>
      <c r="R249" s="19" t="b">
        <v>1</v>
      </c>
      <c r="S249" s="19" t="b">
        <v>1</v>
      </c>
    </row>
    <row r="250" spans="1:22" ht="30">
      <c r="A250" s="17">
        <v>41730.347314814811</v>
      </c>
      <c r="B250" s="18">
        <v>41730.347314814811</v>
      </c>
      <c r="C250" s="17">
        <v>41732.319340277776</v>
      </c>
      <c r="D250" s="18">
        <v>41732.319340277776</v>
      </c>
      <c r="E250" s="19">
        <v>54</v>
      </c>
      <c r="F250" s="57" t="s">
        <v>684</v>
      </c>
      <c r="G250" s="19" t="str">
        <f t="shared" si="18"/>
        <v>13904</v>
      </c>
      <c r="H250" s="19" t="s">
        <v>188</v>
      </c>
      <c r="I250" s="19" t="s">
        <v>189</v>
      </c>
      <c r="J250" s="19" t="s">
        <v>190</v>
      </c>
      <c r="K250" s="19" t="s">
        <v>191</v>
      </c>
      <c r="L250" s="19">
        <v>3006</v>
      </c>
      <c r="M250" s="19" t="str">
        <f t="shared" si="19"/>
        <v>Radio 13904_UnitID_3006</v>
      </c>
      <c r="N250" s="55" t="s">
        <v>253</v>
      </c>
      <c r="O250" s="55" t="s">
        <v>342</v>
      </c>
      <c r="P250" s="19" t="s">
        <v>683</v>
      </c>
      <c r="Q250" s="101">
        <f>IF(D250-B250 &gt; 2,((D250-B250)-1.7),IF(D250-B250 &gt; 1,(D250-B250)-0.7,IF(D250-B250 &gt; 0.5,(D250-B250)-0.7,(D250-B250))))</f>
        <v>1.2720254629646661</v>
      </c>
      <c r="R250" s="19" t="b">
        <v>1</v>
      </c>
      <c r="S250" s="19" t="b">
        <v>1</v>
      </c>
    </row>
    <row r="251" spans="1:22">
      <c r="A251" s="17">
        <v>41730.34783564815</v>
      </c>
      <c r="B251" s="18">
        <v>41730.34783564815</v>
      </c>
      <c r="C251" s="17">
        <v>41732.530127314814</v>
      </c>
      <c r="D251" s="18">
        <v>41732.530127314814</v>
      </c>
      <c r="E251" s="19">
        <v>54</v>
      </c>
      <c r="F251" s="57" t="s">
        <v>685</v>
      </c>
      <c r="G251" s="19" t="str">
        <f t="shared" si="18"/>
        <v>15378</v>
      </c>
      <c r="H251" s="19" t="s">
        <v>686</v>
      </c>
      <c r="I251" s="19" t="s">
        <v>200</v>
      </c>
      <c r="J251" s="19" t="s">
        <v>190</v>
      </c>
      <c r="K251" s="19" t="s">
        <v>191</v>
      </c>
      <c r="L251" s="19">
        <v>3010</v>
      </c>
      <c r="M251" s="19" t="str">
        <f t="shared" si="19"/>
        <v>Radio 15378_UnitID_3010</v>
      </c>
      <c r="N251" s="55" t="s">
        <v>253</v>
      </c>
      <c r="O251" s="55"/>
      <c r="P251" s="19" t="s">
        <v>683</v>
      </c>
      <c r="Q251" s="101">
        <f>IF(D251-B251 &gt; 2,((D251-B251)-1.7),IF(D251-B251 &gt; 1,(D251-B251)-0.7,IF(D251-B251 &gt; 0.5,(D251-B251)-0.7,(D251-B251))))</f>
        <v>0.48229166666424139</v>
      </c>
      <c r="R251" s="19" t="b">
        <v>1</v>
      </c>
      <c r="S251" s="19" t="b">
        <v>1</v>
      </c>
    </row>
    <row r="252" spans="1:22">
      <c r="A252" s="17">
        <v>41730.348321759258</v>
      </c>
      <c r="B252" s="18">
        <v>41730.348321759258</v>
      </c>
      <c r="C252" s="17">
        <v>41732.325324074074</v>
      </c>
      <c r="D252" s="18">
        <v>41732.325324074074</v>
      </c>
      <c r="E252" s="19">
        <v>54</v>
      </c>
      <c r="F252" s="57" t="s">
        <v>687</v>
      </c>
      <c r="G252" s="19" t="str">
        <f t="shared" si="18"/>
        <v>15166</v>
      </c>
      <c r="H252" s="19" t="s">
        <v>188</v>
      </c>
      <c r="I252" s="19" t="s">
        <v>189</v>
      </c>
      <c r="J252" s="19" t="s">
        <v>190</v>
      </c>
      <c r="K252" s="19" t="s">
        <v>191</v>
      </c>
      <c r="L252" s="19">
        <v>3008</v>
      </c>
      <c r="M252" s="19" t="str">
        <f t="shared" si="19"/>
        <v>Radio 15166_UnitID_3008</v>
      </c>
      <c r="N252" s="55" t="s">
        <v>253</v>
      </c>
      <c r="O252" s="55"/>
      <c r="P252" s="19" t="s">
        <v>683</v>
      </c>
      <c r="Q252" s="101">
        <f>D252-B252</f>
        <v>1.9770023148157634</v>
      </c>
      <c r="R252" s="19" t="b">
        <v>1</v>
      </c>
      <c r="S252" s="19" t="b">
        <v>1</v>
      </c>
    </row>
    <row r="253" spans="1:22" ht="30">
      <c r="A253" s="17">
        <v>41730.348877314813</v>
      </c>
      <c r="B253" s="18">
        <v>41730.348877314813</v>
      </c>
      <c r="C253" s="17">
        <v>41732.317569444444</v>
      </c>
      <c r="D253" s="18">
        <v>41732.317569444444</v>
      </c>
      <c r="E253" s="19">
        <v>54</v>
      </c>
      <c r="F253" s="57" t="s">
        <v>688</v>
      </c>
      <c r="G253" s="19" t="str">
        <f t="shared" si="18"/>
        <v>13824</v>
      </c>
      <c r="H253" s="19" t="s">
        <v>188</v>
      </c>
      <c r="I253" s="19" t="s">
        <v>245</v>
      </c>
      <c r="J253" s="19" t="s">
        <v>190</v>
      </c>
      <c r="K253" s="19" t="s">
        <v>191</v>
      </c>
      <c r="L253" s="19">
        <v>3005</v>
      </c>
      <c r="M253" s="19" t="str">
        <f t="shared" si="19"/>
        <v>Radio 13824_UnitID_3005</v>
      </c>
      <c r="N253" s="55" t="s">
        <v>253</v>
      </c>
      <c r="O253" s="55" t="s">
        <v>342</v>
      </c>
      <c r="P253" s="19" t="s">
        <v>683</v>
      </c>
      <c r="Q253" s="101">
        <f>IF(D253-B253 &gt; 2,((D253-B253)-1.7),IF(D253-B253 &gt; 1,(D253-B253)-0.7,IF(D253-B253 &gt; 0.5,(D253-B253)-0.7,(D253-B253))))</f>
        <v>1.2686921296306537</v>
      </c>
      <c r="R253" s="19" t="b">
        <v>1</v>
      </c>
      <c r="S253" s="19" t="b">
        <v>1</v>
      </c>
    </row>
    <row r="254" spans="1:22" ht="30">
      <c r="A254" s="17">
        <v>41730.349340277775</v>
      </c>
      <c r="B254" s="18">
        <v>41730.349340277775</v>
      </c>
      <c r="C254" s="17">
        <v>41732.312407407408</v>
      </c>
      <c r="D254" s="18">
        <v>41732.312407407408</v>
      </c>
      <c r="E254" s="19">
        <v>54</v>
      </c>
      <c r="F254" s="57" t="s">
        <v>689</v>
      </c>
      <c r="G254" s="19" t="str">
        <f t="shared" si="18"/>
        <v>13750</v>
      </c>
      <c r="H254" s="19" t="s">
        <v>188</v>
      </c>
      <c r="I254" s="19" t="s">
        <v>189</v>
      </c>
      <c r="J254" s="19" t="s">
        <v>190</v>
      </c>
      <c r="K254" s="19" t="s">
        <v>191</v>
      </c>
      <c r="L254" s="19">
        <v>3003</v>
      </c>
      <c r="M254" s="19" t="str">
        <f t="shared" si="19"/>
        <v>Radio 13750_UnitID_3003</v>
      </c>
      <c r="N254" s="55" t="s">
        <v>253</v>
      </c>
      <c r="O254" s="55" t="s">
        <v>342</v>
      </c>
      <c r="P254" s="19" t="s">
        <v>683</v>
      </c>
      <c r="Q254" s="101">
        <f>IF(D254-B254 &gt; 2,((D254-B254)-1.7),IF(D254-B254 &gt; 1,(D254-B254)-0.7,IF(D254-B254 &gt; 0.5,(D254-B254)-0.7,(D254-B254))))</f>
        <v>1.263067129632691</v>
      </c>
      <c r="R254" s="19" t="b">
        <v>1</v>
      </c>
      <c r="S254" s="19" t="b">
        <v>1</v>
      </c>
    </row>
    <row r="255" spans="1:22">
      <c r="A255" s="17">
        <v>41730.350069444445</v>
      </c>
      <c r="B255" s="18">
        <v>41730.350069444445</v>
      </c>
      <c r="C255" s="17">
        <v>41732.321053240739</v>
      </c>
      <c r="D255" s="18">
        <v>41732.321053240739</v>
      </c>
      <c r="E255" s="19">
        <v>54</v>
      </c>
      <c r="F255" s="57" t="s">
        <v>690</v>
      </c>
      <c r="G255" s="19" t="str">
        <f t="shared" si="18"/>
        <v>13480</v>
      </c>
      <c r="H255" s="19" t="s">
        <v>686</v>
      </c>
      <c r="I255" s="19" t="s">
        <v>189</v>
      </c>
      <c r="J255" s="19" t="s">
        <v>190</v>
      </c>
      <c r="K255" s="19" t="s">
        <v>191</v>
      </c>
      <c r="L255" s="19">
        <v>3002</v>
      </c>
      <c r="M255" s="19" t="str">
        <f t="shared" si="19"/>
        <v>Radio 13480_UnitID_3002</v>
      </c>
      <c r="N255" s="55" t="s">
        <v>253</v>
      </c>
      <c r="O255" s="55"/>
      <c r="P255" s="19" t="s">
        <v>683</v>
      </c>
      <c r="Q255" s="101">
        <f>IF(D255-B255 &gt; 2,((D255-B255)-1.7),IF(D255-B255 &gt; 1,(D255-B255)-0.7,IF(D255-B255 &gt; 0.5,(D255-B255)-0.7,(D255-B255))))</f>
        <v>1.270983796294604</v>
      </c>
      <c r="R255" s="19" t="b">
        <v>1</v>
      </c>
      <c r="S255" s="19" t="b">
        <v>1</v>
      </c>
    </row>
    <row r="256" spans="1:22">
      <c r="A256" s="17">
        <v>41730.350474537037</v>
      </c>
      <c r="B256" s="18">
        <v>41730.350474537037</v>
      </c>
      <c r="C256" s="17">
        <v>41732.362997685188</v>
      </c>
      <c r="D256" s="18">
        <v>41732.362997685188</v>
      </c>
      <c r="E256" s="19">
        <v>54</v>
      </c>
      <c r="F256" s="57" t="s">
        <v>691</v>
      </c>
      <c r="G256" s="19" t="str">
        <f t="shared" si="18"/>
        <v>15161</v>
      </c>
      <c r="H256" s="19" t="s">
        <v>188</v>
      </c>
      <c r="I256" s="19" t="s">
        <v>245</v>
      </c>
      <c r="J256" s="19" t="s">
        <v>190</v>
      </c>
      <c r="K256" s="19" t="s">
        <v>191</v>
      </c>
      <c r="L256" s="19">
        <v>3007</v>
      </c>
      <c r="M256" s="19" t="str">
        <f t="shared" si="19"/>
        <v>Radio 15161_UnitID_3007</v>
      </c>
      <c r="N256" s="55" t="s">
        <v>253</v>
      </c>
      <c r="O256" s="55"/>
      <c r="P256" s="19" t="s">
        <v>683</v>
      </c>
      <c r="Q256" s="101">
        <f>IF(D256-B256 &gt; 2,((D256-B256)-1.7),IF(D256-B256 &gt; 1,(D256-B256)-0.7,IF(D256-B256 &gt; 0.5,(D256-B256)-0.7,(D256-B256))))</f>
        <v>0.31252314815064897</v>
      </c>
      <c r="R256" s="19" t="b">
        <v>0</v>
      </c>
      <c r="S256" s="19" t="b">
        <v>1</v>
      </c>
      <c r="V256" s="19" t="s">
        <v>738</v>
      </c>
    </row>
    <row r="257" spans="1:22">
      <c r="A257" s="17">
        <v>41730.35087962963</v>
      </c>
      <c r="B257" s="18">
        <v>41730.35087962963</v>
      </c>
      <c r="C257" s="17">
        <v>41732.362314814818</v>
      </c>
      <c r="D257" s="18">
        <v>41732.362314814818</v>
      </c>
      <c r="E257" s="19">
        <v>54</v>
      </c>
      <c r="F257" s="57" t="s">
        <v>692</v>
      </c>
      <c r="G257" s="19" t="str">
        <f t="shared" si="18"/>
        <v>13792</v>
      </c>
      <c r="H257" s="19" t="s">
        <v>188</v>
      </c>
      <c r="I257" s="19" t="s">
        <v>189</v>
      </c>
      <c r="J257" s="19" t="s">
        <v>190</v>
      </c>
      <c r="K257" s="19" t="s">
        <v>191</v>
      </c>
      <c r="L257" s="19">
        <v>3004</v>
      </c>
      <c r="M257" s="19" t="str">
        <f t="shared" si="19"/>
        <v>Radio 13792_UnitID_3004</v>
      </c>
      <c r="N257" s="55" t="s">
        <v>253</v>
      </c>
      <c r="O257" s="55"/>
      <c r="P257" s="19" t="s">
        <v>683</v>
      </c>
      <c r="Q257" s="101">
        <f>D257-B257</f>
        <v>2.0114351851880201</v>
      </c>
      <c r="R257" s="19" t="b">
        <v>0</v>
      </c>
      <c r="S257" s="19" t="b">
        <v>1</v>
      </c>
      <c r="V257" s="19" t="s">
        <v>737</v>
      </c>
    </row>
    <row r="258" spans="1:22" ht="45">
      <c r="A258" s="17">
        <v>41730.351215277777</v>
      </c>
      <c r="B258" s="18">
        <v>41730.351215277777</v>
      </c>
      <c r="C258" s="17">
        <v>41732.43041666667</v>
      </c>
      <c r="D258" s="18">
        <v>41732.43041666667</v>
      </c>
      <c r="E258" s="19">
        <v>55</v>
      </c>
      <c r="F258" s="57" t="s">
        <v>693</v>
      </c>
      <c r="G258" s="107" t="str">
        <f t="shared" si="18"/>
        <v>13887</v>
      </c>
      <c r="H258" s="107" t="s">
        <v>188</v>
      </c>
      <c r="I258" s="19" t="s">
        <v>189</v>
      </c>
      <c r="J258" s="19" t="s">
        <v>190</v>
      </c>
      <c r="K258" s="19" t="s">
        <v>191</v>
      </c>
      <c r="L258" s="19">
        <v>5031</v>
      </c>
      <c r="M258" s="19" t="str">
        <f t="shared" si="19"/>
        <v>Radio 13887_UnitID_5031</v>
      </c>
      <c r="N258" s="55" t="s">
        <v>694</v>
      </c>
      <c r="O258" s="110" t="s">
        <v>740</v>
      </c>
      <c r="P258" s="19" t="s">
        <v>193</v>
      </c>
      <c r="Q258" s="101">
        <f>IF(D258-B258 &gt; 2,((D258-B258)-1.7),IF(D258-B258 &gt; 1,(D258-B258)-0.7,IF(D258-B258 &gt; 0.5,(D258-B258)-0.7,(D258-B258))))</f>
        <v>0.37920138889312516</v>
      </c>
      <c r="R258" s="19" t="b">
        <v>1</v>
      </c>
      <c r="S258" s="19" t="b">
        <v>1</v>
      </c>
    </row>
    <row r="259" spans="1:22">
      <c r="A259" s="17">
        <v>41730.351863425924</v>
      </c>
      <c r="B259" s="18">
        <v>41730.351863425924</v>
      </c>
      <c r="C259" s="17">
        <v>41732.427824074075</v>
      </c>
      <c r="D259" s="18">
        <v>41732.427824074075</v>
      </c>
      <c r="E259" s="19">
        <v>55</v>
      </c>
      <c r="F259" s="57" t="s">
        <v>695</v>
      </c>
      <c r="G259" s="107" t="str">
        <f t="shared" si="18"/>
        <v>15529</v>
      </c>
      <c r="H259" s="107" t="s">
        <v>188</v>
      </c>
      <c r="I259" s="19" t="s">
        <v>189</v>
      </c>
      <c r="J259" s="19" t="s">
        <v>190</v>
      </c>
      <c r="K259" s="19" t="s">
        <v>191</v>
      </c>
      <c r="L259" s="19">
        <v>5032</v>
      </c>
      <c r="M259" s="19" t="str">
        <f t="shared" si="19"/>
        <v>Radio 15529_UnitID_5032</v>
      </c>
      <c r="N259" s="55" t="s">
        <v>694</v>
      </c>
      <c r="O259" s="55"/>
      <c r="P259" s="19" t="s">
        <v>193</v>
      </c>
      <c r="Q259" s="101">
        <f>IF(D259-B259 &gt; 2,((D259-B259)-1.7),IF(D259-B259 &gt; 1,(D259-B259)-0.7,IF(D259-B259 &gt; 0.5,(D259-B259)-0.7,(D259-B259))))</f>
        <v>0.37596064815152208</v>
      </c>
      <c r="R259" s="19" t="b">
        <v>1</v>
      </c>
      <c r="S259" s="19" t="b">
        <v>1</v>
      </c>
    </row>
    <row r="260" spans="1:22" ht="30">
      <c r="A260" s="17">
        <v>41730.352256944447</v>
      </c>
      <c r="B260" s="18">
        <v>41730.352256944447</v>
      </c>
      <c r="C260" s="17">
        <v>41732.558912037035</v>
      </c>
      <c r="D260" s="18">
        <v>41732.558912037035</v>
      </c>
      <c r="E260" s="19">
        <v>55</v>
      </c>
      <c r="F260" s="57" t="s">
        <v>696</v>
      </c>
      <c r="G260" s="107" t="str">
        <f t="shared" si="18"/>
        <v>74813</v>
      </c>
      <c r="H260" s="107" t="s">
        <v>196</v>
      </c>
      <c r="I260" s="19" t="s">
        <v>187</v>
      </c>
      <c r="J260" s="19" t="s">
        <v>206</v>
      </c>
      <c r="K260" s="19" t="s">
        <v>226</v>
      </c>
      <c r="L260" s="19">
        <v>3301</v>
      </c>
      <c r="M260" s="19" t="str">
        <f t="shared" si="19"/>
        <v>Radio 74813_UnitID_3301</v>
      </c>
      <c r="N260" s="55" t="s">
        <v>694</v>
      </c>
      <c r="O260" s="55" t="s">
        <v>748</v>
      </c>
      <c r="P260" s="19" t="s">
        <v>281</v>
      </c>
      <c r="Q260" s="101">
        <f>IF(D260-B260 &gt; 2,((D260-B260)-1.7),IF(D260-B260 &gt; 1,(D260-B260)-0.7,IF(D260-B260 &gt; 0.5,(D260-B260)-0.7,(D260-B260))))</f>
        <v>0.50665509258833485</v>
      </c>
      <c r="R260" s="19" t="b">
        <v>1</v>
      </c>
      <c r="S260" s="19" t="b">
        <v>1</v>
      </c>
    </row>
    <row r="261" spans="1:22">
      <c r="A261" s="17">
        <v>41730.352870370371</v>
      </c>
      <c r="B261" s="18">
        <v>41730.352870370371</v>
      </c>
      <c r="C261" s="17">
        <v>41732.55878472222</v>
      </c>
      <c r="D261" s="18">
        <v>41732.55878472222</v>
      </c>
      <c r="E261" s="19">
        <v>55</v>
      </c>
      <c r="F261" s="57" t="s">
        <v>697</v>
      </c>
      <c r="G261" s="107" t="str">
        <f t="shared" si="18"/>
        <v>63493</v>
      </c>
      <c r="H261" s="107" t="s">
        <v>293</v>
      </c>
      <c r="I261" s="19" t="s">
        <v>187</v>
      </c>
      <c r="J261" s="19" t="s">
        <v>206</v>
      </c>
      <c r="K261" s="19" t="s">
        <v>226</v>
      </c>
      <c r="L261" s="19">
        <v>1791</v>
      </c>
      <c r="M261" s="19" t="str">
        <f t="shared" si="19"/>
        <v>Radio 63493_UnitID_1791</v>
      </c>
      <c r="N261" s="55" t="s">
        <v>694</v>
      </c>
      <c r="O261" s="55"/>
      <c r="P261" s="19" t="s">
        <v>281</v>
      </c>
      <c r="Q261" s="101">
        <f>IF(D261-B261 &gt; 2,((D261-B261)-1.7),IF(D261-B261 &gt; 1,(D261-B261)-0.7,IF(D261-B261 &gt; 0.5,(D261-B261)-0.7,(D261-B261))))</f>
        <v>0.50591435184906008</v>
      </c>
      <c r="R261" s="19" t="b">
        <v>1</v>
      </c>
      <c r="S261" s="19" t="b">
        <v>1</v>
      </c>
    </row>
    <row r="262" spans="1:22">
      <c r="A262" s="17">
        <v>41730.447118055556</v>
      </c>
      <c r="B262" s="18">
        <v>41730.447118055556</v>
      </c>
      <c r="C262" s="17">
        <v>41731.359456018516</v>
      </c>
      <c r="D262" s="18">
        <v>41731.359456018516</v>
      </c>
      <c r="E262" s="19">
        <v>56</v>
      </c>
      <c r="F262" s="57" t="s">
        <v>698</v>
      </c>
      <c r="G262" s="107" t="str">
        <f t="shared" si="18"/>
        <v>97860</v>
      </c>
      <c r="H262" s="107" t="s">
        <v>251</v>
      </c>
      <c r="I262" s="19" t="s">
        <v>255</v>
      </c>
      <c r="J262" s="19" t="s">
        <v>190</v>
      </c>
      <c r="K262" s="19" t="s">
        <v>191</v>
      </c>
      <c r="L262" s="19">
        <v>3906</v>
      </c>
      <c r="M262" s="19" t="str">
        <f t="shared" si="19"/>
        <v>Radio 97860_UnitID_3906</v>
      </c>
      <c r="N262" s="55" t="s">
        <v>253</v>
      </c>
      <c r="O262" s="55"/>
      <c r="P262" s="19" t="s">
        <v>699</v>
      </c>
      <c r="Q262" s="101">
        <f>IF(D262-B262 &gt; 2,((D262-B262)-1.7),IF(D262-B262 &gt; 1,(D262-B262)-0.7,IF(D262-B262 &gt; 0.5,(D262-B262)-0.7,(D262-B262))))</f>
        <v>0.21233796296000951</v>
      </c>
      <c r="R262" s="19" t="b">
        <v>1</v>
      </c>
      <c r="S262" s="19" t="b">
        <v>1</v>
      </c>
    </row>
    <row r="263" spans="1:22">
      <c r="A263" s="17">
        <v>41730.448344907411</v>
      </c>
      <c r="B263" s="18">
        <v>41730.448344907411</v>
      </c>
      <c r="C263" s="17">
        <v>41732.467511574076</v>
      </c>
      <c r="D263" s="18">
        <v>41732.467511574076</v>
      </c>
      <c r="E263" s="19">
        <v>56</v>
      </c>
      <c r="F263" s="57" t="s">
        <v>700</v>
      </c>
      <c r="G263" s="107" t="str">
        <f t="shared" si="18"/>
        <v>11671</v>
      </c>
      <c r="H263" s="107" t="s">
        <v>268</v>
      </c>
      <c r="I263" s="19" t="s">
        <v>269</v>
      </c>
      <c r="J263" s="19" t="s">
        <v>190</v>
      </c>
      <c r="K263" s="19" t="s">
        <v>191</v>
      </c>
      <c r="L263" s="19">
        <v>3313</v>
      </c>
      <c r="M263" s="19" t="str">
        <f t="shared" si="19"/>
        <v>Radio 11671_UnitID_3313</v>
      </c>
      <c r="N263" s="55" t="s">
        <v>253</v>
      </c>
      <c r="O263" s="110" t="s">
        <v>517</v>
      </c>
      <c r="P263" s="19" t="s">
        <v>699</v>
      </c>
      <c r="Q263" s="101">
        <f>D263-B263</f>
        <v>2.0191666666651145</v>
      </c>
      <c r="R263" s="19" t="b">
        <v>1</v>
      </c>
      <c r="S263" s="19" t="b">
        <v>1</v>
      </c>
    </row>
    <row r="264" spans="1:22" ht="60">
      <c r="A264" s="17">
        <v>41730.457662037035</v>
      </c>
      <c r="B264" s="18">
        <v>41730.457662037035</v>
      </c>
      <c r="C264" s="17">
        <v>41730.763854166667</v>
      </c>
      <c r="D264" s="18">
        <v>41730.763854166667</v>
      </c>
      <c r="E264" s="19">
        <v>56</v>
      </c>
      <c r="F264" s="57" t="s">
        <v>701</v>
      </c>
      <c r="G264" s="107" t="str">
        <f t="shared" si="18"/>
        <v>11603</v>
      </c>
      <c r="H264" s="107" t="s">
        <v>268</v>
      </c>
      <c r="I264" s="19" t="s">
        <v>269</v>
      </c>
      <c r="J264" s="19" t="s">
        <v>190</v>
      </c>
      <c r="K264" s="19" t="s">
        <v>191</v>
      </c>
      <c r="L264" s="19">
        <v>3328</v>
      </c>
      <c r="M264" s="19" t="str">
        <f t="shared" ref="M264:M266" si="20">CONCATENATE("Radio ",G264,"_UnitID_",L264)</f>
        <v>Radio 11603_UnitID_3328</v>
      </c>
      <c r="N264" s="55" t="s">
        <v>253</v>
      </c>
      <c r="O264" s="110" t="s">
        <v>728</v>
      </c>
      <c r="P264" s="19" t="s">
        <v>702</v>
      </c>
      <c r="Q264" s="101">
        <f>IF(D264-B264 &gt; 2,((D264-B264)-1.7),IF(D264-B264 &gt; 1,(D264-B264)-0.7,IF(D264-B264 &gt; 0.5,(D264-B264)-0.7,(D264-B264))))</f>
        <v>0.30619212963210884</v>
      </c>
      <c r="R264" s="19" t="b">
        <v>1</v>
      </c>
      <c r="S264" s="19" t="b">
        <v>1</v>
      </c>
    </row>
    <row r="265" spans="1:22">
      <c r="A265" s="17">
        <v>41730.464432870373</v>
      </c>
      <c r="B265" s="18">
        <v>41730.464432870373</v>
      </c>
      <c r="C265" s="17">
        <v>41732.309733796297</v>
      </c>
      <c r="D265" s="18">
        <v>41732.309733796297</v>
      </c>
      <c r="E265" s="19">
        <v>56</v>
      </c>
      <c r="F265" s="57" t="s">
        <v>703</v>
      </c>
      <c r="G265" s="107" t="str">
        <f t="shared" si="18"/>
        <v>19644</v>
      </c>
      <c r="H265" s="107" t="s">
        <v>272</v>
      </c>
      <c r="I265" s="19" t="s">
        <v>190</v>
      </c>
      <c r="J265" s="19" t="s">
        <v>190</v>
      </c>
      <c r="K265" s="19" t="s">
        <v>191</v>
      </c>
      <c r="L265" s="19">
        <v>3329</v>
      </c>
      <c r="M265" s="19" t="str">
        <f>CONCATENATE("Radio ",G265,"_UnitID_",L265)</f>
        <v>Radio 19644_UnitID_3329</v>
      </c>
      <c r="N265" s="55" t="s">
        <v>253</v>
      </c>
      <c r="O265" s="110"/>
      <c r="P265" s="19" t="s">
        <v>704</v>
      </c>
      <c r="Q265" s="101">
        <f>D265-B265</f>
        <v>1.8453009259246755</v>
      </c>
      <c r="R265" s="19" t="b">
        <v>1</v>
      </c>
      <c r="S265" s="19" t="b">
        <v>1</v>
      </c>
    </row>
    <row r="266" spans="1:22" ht="60">
      <c r="A266" s="17">
        <v>41730.484224537038</v>
      </c>
      <c r="B266" s="18">
        <v>41730.484224537038</v>
      </c>
      <c r="C266" s="17">
        <v>41730.771481481483</v>
      </c>
      <c r="D266" s="18">
        <v>41730.771481481483</v>
      </c>
      <c r="E266" s="19">
        <v>56</v>
      </c>
      <c r="F266" s="57" t="s">
        <v>705</v>
      </c>
      <c r="G266" s="107" t="str">
        <f t="shared" si="18"/>
        <v>78441</v>
      </c>
      <c r="H266" s="107" t="s">
        <v>251</v>
      </c>
      <c r="I266" s="19" t="s">
        <v>252</v>
      </c>
      <c r="J266" s="19" t="s">
        <v>190</v>
      </c>
      <c r="K266" s="19" t="s">
        <v>191</v>
      </c>
      <c r="L266" s="19">
        <v>3321</v>
      </c>
      <c r="M266" s="19" t="str">
        <f t="shared" si="20"/>
        <v>Radio 78441_UnitID_3321</v>
      </c>
      <c r="N266" s="55" t="s">
        <v>253</v>
      </c>
      <c r="O266" s="110" t="s">
        <v>604</v>
      </c>
      <c r="P266" s="19" t="s">
        <v>706</v>
      </c>
      <c r="Q266" s="101">
        <f>IF(D266-B266 &gt; 2,((D266-B266)-1.7),IF(D266-B266 &gt; 1,(D266-B266)-0.7,IF(D266-B266 &gt; 0.5,(D266-B266)-0.7,(D266-B266))))</f>
        <v>0.28725694444437977</v>
      </c>
      <c r="R266" s="19" t="b">
        <v>1</v>
      </c>
      <c r="S266" s="19" t="b">
        <v>1</v>
      </c>
    </row>
    <row r="267" spans="1:22">
      <c r="A267" s="17">
        <v>41730.484895833331</v>
      </c>
      <c r="B267" s="18">
        <v>41730.484895833331</v>
      </c>
      <c r="C267" s="17">
        <v>41732.471805555557</v>
      </c>
      <c r="D267" s="18">
        <v>41732.471805555557</v>
      </c>
      <c r="E267" s="19">
        <v>57</v>
      </c>
      <c r="F267" s="57" t="s">
        <v>707</v>
      </c>
      <c r="G267" s="107" t="str">
        <f t="shared" si="18"/>
        <v>75566</v>
      </c>
      <c r="H267" s="107" t="s">
        <v>251</v>
      </c>
      <c r="I267" s="19" t="s">
        <v>252</v>
      </c>
      <c r="J267" s="19" t="s">
        <v>190</v>
      </c>
      <c r="K267" s="19" t="s">
        <v>191</v>
      </c>
      <c r="L267" s="19">
        <v>8030</v>
      </c>
      <c r="M267" s="19" t="str">
        <f>CONCATENATE("Radio ",G267,"_UnitID_",L267)</f>
        <v>Radio 75566_UnitID_8030</v>
      </c>
      <c r="N267" s="55" t="s">
        <v>618</v>
      </c>
      <c r="O267" s="110" t="s">
        <v>335</v>
      </c>
      <c r="P267" s="19" t="s">
        <v>708</v>
      </c>
      <c r="Q267" s="101">
        <f>D267-B267</f>
        <v>1.9869097222253913</v>
      </c>
      <c r="R267" s="19" t="b">
        <v>1</v>
      </c>
      <c r="S267" s="19" t="b">
        <v>1</v>
      </c>
      <c r="V267" s="19" t="s">
        <v>709</v>
      </c>
    </row>
    <row r="268" spans="1:22">
      <c r="A268" s="17">
        <v>41730.491851851853</v>
      </c>
      <c r="B268" s="18">
        <v>41730.491851851853</v>
      </c>
      <c r="C268" s="17">
        <v>41732.573113425926</v>
      </c>
      <c r="D268" s="18">
        <v>41732.573113425926</v>
      </c>
      <c r="E268" s="19">
        <v>57</v>
      </c>
      <c r="F268" s="57" t="s">
        <v>710</v>
      </c>
      <c r="G268" s="107" t="str">
        <f t="shared" si="18"/>
        <v>78362</v>
      </c>
      <c r="H268" s="107" t="s">
        <v>251</v>
      </c>
      <c r="I268" s="19" t="s">
        <v>252</v>
      </c>
      <c r="J268" s="19" t="s">
        <v>190</v>
      </c>
      <c r="K268" s="19" t="s">
        <v>191</v>
      </c>
      <c r="L268" s="19">
        <v>908</v>
      </c>
      <c r="M268" s="19" t="str">
        <f>CONCATENATE("Radio ",G268,"_UnitID_",L268)</f>
        <v>Radio 78362_UnitID_908</v>
      </c>
      <c r="N268" s="55" t="s">
        <v>618</v>
      </c>
      <c r="O268" s="110"/>
      <c r="P268" s="19" t="s">
        <v>708</v>
      </c>
      <c r="Q268" s="101">
        <f>IF(D268-B268 &gt; 2,((D268-B268)-1.7),IF(D268-B268 &gt; 1,(D268-B268)-0.7,IF(D268-B268 &gt; 0.5,(D268-B268)-0.7,(D268-B268))))</f>
        <v>0.38126157407241412</v>
      </c>
      <c r="R268" s="19" t="b">
        <v>1</v>
      </c>
      <c r="S268" s="19" t="b">
        <v>1</v>
      </c>
      <c r="V268" s="19" t="s">
        <v>749</v>
      </c>
    </row>
    <row r="269" spans="1:22">
      <c r="A269" s="17">
        <v>41730.493425925924</v>
      </c>
      <c r="B269" s="18">
        <v>41730.493425925924</v>
      </c>
      <c r="C269" s="17">
        <v>41732.479409722226</v>
      </c>
      <c r="D269" s="18">
        <v>41732.479409722226</v>
      </c>
      <c r="E269" s="19">
        <v>57</v>
      </c>
      <c r="F269" s="57" t="s">
        <v>711</v>
      </c>
      <c r="G269" s="107" t="str">
        <f t="shared" si="18"/>
        <v>78672</v>
      </c>
      <c r="H269" s="107" t="s">
        <v>251</v>
      </c>
      <c r="I269" s="19" t="s">
        <v>252</v>
      </c>
      <c r="J269" s="19" t="s">
        <v>190</v>
      </c>
      <c r="K269" s="19" t="s">
        <v>191</v>
      </c>
      <c r="L269" s="19">
        <v>2030</v>
      </c>
      <c r="M269" s="19" t="str">
        <f>CONCATENATE("Radio ",G269,"_UnitID_",L269)</f>
        <v>Radio 78672_UnitID_2030</v>
      </c>
      <c r="N269" s="55" t="s">
        <v>618</v>
      </c>
      <c r="O269" s="110"/>
      <c r="P269" s="19" t="s">
        <v>708</v>
      </c>
      <c r="Q269" s="101">
        <f>IF(D269-B269 &gt; 2,((D269-B269)-1.7),IF(D269-B269 &gt; 1,(D269-B269)-0.7,IF(D269-B269 &gt; 0.5,(D269-B269)-0.7,(D269-B269))))</f>
        <v>1.2859837963012979</v>
      </c>
      <c r="R269" s="19" t="b">
        <v>1</v>
      </c>
      <c r="S269" s="19" t="b">
        <v>1</v>
      </c>
      <c r="V269" s="19" t="s">
        <v>709</v>
      </c>
    </row>
    <row r="270" spans="1:22" ht="45">
      <c r="A270" s="17">
        <v>41730.496030092596</v>
      </c>
      <c r="B270" s="18">
        <v>41730.496030092596</v>
      </c>
      <c r="C270" s="17">
        <v>41732.367083333331</v>
      </c>
      <c r="D270" s="18">
        <v>41732.367083333331</v>
      </c>
      <c r="E270" s="19">
        <v>57</v>
      </c>
      <c r="F270" s="57" t="s">
        <v>712</v>
      </c>
      <c r="G270" s="19" t="str">
        <f t="shared" si="18"/>
        <v>10242</v>
      </c>
      <c r="H270" s="19" t="s">
        <v>713</v>
      </c>
      <c r="I270" s="19" t="s">
        <v>714</v>
      </c>
      <c r="J270" s="19" t="s">
        <v>190</v>
      </c>
      <c r="K270" s="19" t="s">
        <v>191</v>
      </c>
      <c r="L270" s="19">
        <v>900</v>
      </c>
      <c r="M270" s="19" t="str">
        <f>CONCATENATE("Radio ",G270,"_UnitID_",L270)</f>
        <v>Radio 10242_UnitID_900</v>
      </c>
      <c r="N270" s="55" t="s">
        <v>618</v>
      </c>
      <c r="O270" s="110" t="s">
        <v>739</v>
      </c>
      <c r="P270" s="19" t="s">
        <v>206</v>
      </c>
      <c r="Q270" s="101">
        <f>IF(D270-B270 &gt; 2,((D270-B270)-1.7),IF(D270-B270 &gt; 1,(D270-B270)-0.7,IF(D270-B270 &gt; 0.5,(D270-B270)-0.7,(D270-B270))))</f>
        <v>1.1710532407349092</v>
      </c>
      <c r="R270" s="19" t="b">
        <v>1</v>
      </c>
      <c r="S270" s="19" t="b">
        <v>1</v>
      </c>
      <c r="V270" s="19" t="s">
        <v>715</v>
      </c>
    </row>
    <row r="271" spans="1:22">
      <c r="A271" s="17">
        <v>41730.511493055557</v>
      </c>
      <c r="B271" s="18">
        <v>41730.511493055557</v>
      </c>
      <c r="C271" s="17">
        <v>41731.359305555554</v>
      </c>
      <c r="D271" s="18">
        <v>41731.359305555554</v>
      </c>
      <c r="E271" s="19">
        <v>58</v>
      </c>
      <c r="F271" s="57" t="s">
        <v>716</v>
      </c>
      <c r="G271" s="19" t="str">
        <f t="shared" si="18"/>
        <v>78711</v>
      </c>
      <c r="H271" s="19" t="s">
        <v>251</v>
      </c>
      <c r="I271" s="19" t="s">
        <v>252</v>
      </c>
      <c r="J271" s="19" t="s">
        <v>190</v>
      </c>
      <c r="K271" s="19" t="s">
        <v>191</v>
      </c>
      <c r="L271" s="19">
        <v>2040</v>
      </c>
      <c r="M271" s="19" t="str">
        <f t="shared" ref="M271:M280" si="21">CONCATENATE("Radio ",G271,"_UnitID_",L271)</f>
        <v>Radio 78711_UnitID_2040</v>
      </c>
      <c r="N271" s="55" t="s">
        <v>637</v>
      </c>
      <c r="O271" s="55"/>
      <c r="P271" s="19" t="s">
        <v>706</v>
      </c>
      <c r="Q271" s="101">
        <f t="shared" ref="Q271:Q280" si="22">IF(D271-B271 &gt; 2,((D271-B271)-1.7),IF(D271-B271 &gt; 1,(D271-B271)-0.7,IF(D271-B271 &gt; 0.5,(D271-B271)-0.7,(D271-B271))))</f>
        <v>0.14781249999650758</v>
      </c>
      <c r="R271" s="19" t="b">
        <v>1</v>
      </c>
      <c r="S271" s="19" t="b">
        <v>1</v>
      </c>
    </row>
    <row r="272" spans="1:22">
      <c r="A272" s="17">
        <v>41730.671273148146</v>
      </c>
      <c r="B272" s="18">
        <v>41730.671273148146</v>
      </c>
      <c r="C272" s="17">
        <v>41731.339745370373</v>
      </c>
      <c r="D272" s="18">
        <v>41731.339745370373</v>
      </c>
      <c r="E272" s="19">
        <v>59</v>
      </c>
      <c r="F272" s="57" t="s">
        <v>717</v>
      </c>
      <c r="G272" s="19" t="str">
        <f t="shared" si="18"/>
        <v>78695</v>
      </c>
      <c r="H272" s="19" t="s">
        <v>251</v>
      </c>
      <c r="I272" s="19" t="s">
        <v>718</v>
      </c>
      <c r="J272" s="19" t="s">
        <v>190</v>
      </c>
      <c r="K272" s="19" t="s">
        <v>191</v>
      </c>
      <c r="L272" s="19">
        <v>5070</v>
      </c>
      <c r="M272" s="19" t="str">
        <f t="shared" si="21"/>
        <v>Radio 78695_UnitID_5070</v>
      </c>
      <c r="N272" s="55" t="s">
        <v>582</v>
      </c>
      <c r="O272" s="55"/>
      <c r="P272" s="19" t="s">
        <v>706</v>
      </c>
      <c r="Q272" s="101">
        <f t="shared" si="22"/>
        <v>-3.152777777286242E-2</v>
      </c>
      <c r="R272" s="19" t="b">
        <v>1</v>
      </c>
      <c r="S272" s="19" t="b">
        <v>1</v>
      </c>
    </row>
    <row r="273" spans="1:22">
      <c r="A273" s="17">
        <v>41730.695092592592</v>
      </c>
      <c r="B273" s="18">
        <v>41730.695092592592</v>
      </c>
      <c r="C273" s="17">
        <v>41731.340185185189</v>
      </c>
      <c r="D273" s="18">
        <v>41731.340185185189</v>
      </c>
      <c r="E273" s="19">
        <v>59</v>
      </c>
      <c r="F273" s="57" t="s">
        <v>719</v>
      </c>
      <c r="G273" s="19" t="str">
        <f t="shared" si="18"/>
        <v>76147</v>
      </c>
      <c r="H273" s="19" t="s">
        <v>251</v>
      </c>
      <c r="I273" s="19" t="s">
        <v>718</v>
      </c>
      <c r="J273" s="19" t="s">
        <v>190</v>
      </c>
      <c r="K273" s="19" t="s">
        <v>191</v>
      </c>
      <c r="L273" s="19">
        <v>5010</v>
      </c>
      <c r="M273" s="19" t="str">
        <f t="shared" si="21"/>
        <v>Radio 76147_UnitID_5010</v>
      </c>
      <c r="N273" s="55" t="s">
        <v>582</v>
      </c>
      <c r="O273" s="55"/>
      <c r="P273" s="19" t="s">
        <v>706</v>
      </c>
      <c r="Q273" s="101">
        <f t="shared" si="22"/>
        <v>-5.4907407403516073E-2</v>
      </c>
      <c r="R273" s="19" t="b">
        <v>1</v>
      </c>
      <c r="S273" s="19" t="b">
        <v>1</v>
      </c>
    </row>
    <row r="274" spans="1:22">
      <c r="A274" s="17">
        <v>41730.696631944447</v>
      </c>
      <c r="B274" s="18">
        <v>41730.696631944447</v>
      </c>
      <c r="C274" s="17">
        <v>41731.345231481479</v>
      </c>
      <c r="D274" s="18">
        <v>41731.345231481479</v>
      </c>
      <c r="E274" s="19">
        <v>59</v>
      </c>
      <c r="F274" s="57" t="s">
        <v>720</v>
      </c>
      <c r="G274" s="19" t="str">
        <f t="shared" si="18"/>
        <v>76176</v>
      </c>
      <c r="H274" s="19" t="s">
        <v>251</v>
      </c>
      <c r="I274" s="19" t="s">
        <v>252</v>
      </c>
      <c r="J274" s="19" t="s">
        <v>190</v>
      </c>
      <c r="K274" s="19" t="s">
        <v>191</v>
      </c>
      <c r="L274" s="19">
        <v>5090</v>
      </c>
      <c r="M274" s="19" t="str">
        <f t="shared" si="21"/>
        <v>Radio 76176_UnitID_5090</v>
      </c>
      <c r="N274" s="55" t="s">
        <v>582</v>
      </c>
      <c r="O274" s="55"/>
      <c r="P274" s="19" t="s">
        <v>706</v>
      </c>
      <c r="Q274" s="101">
        <f t="shared" si="22"/>
        <v>-5.1400462968740568E-2</v>
      </c>
      <c r="R274" s="19" t="b">
        <v>1</v>
      </c>
      <c r="S274" s="19" t="b">
        <v>1</v>
      </c>
    </row>
    <row r="275" spans="1:22">
      <c r="A275" s="17">
        <v>41730.697465277779</v>
      </c>
      <c r="B275" s="18">
        <v>41730.697465277779</v>
      </c>
      <c r="C275" s="17">
        <v>41731.340902777774</v>
      </c>
      <c r="D275" s="18">
        <v>41731.340902777774</v>
      </c>
      <c r="E275" s="19">
        <v>59</v>
      </c>
      <c r="F275" s="57" t="s">
        <v>721</v>
      </c>
      <c r="G275" s="19" t="str">
        <f t="shared" si="18"/>
        <v>76323</v>
      </c>
      <c r="H275" s="19" t="s">
        <v>251</v>
      </c>
      <c r="I275" s="19" t="s">
        <v>252</v>
      </c>
      <c r="J275" s="19" t="s">
        <v>190</v>
      </c>
      <c r="K275" s="19" t="s">
        <v>191</v>
      </c>
      <c r="L275" s="19">
        <v>5030</v>
      </c>
      <c r="M275" s="19" t="str">
        <f t="shared" si="21"/>
        <v>Radio 76323_UnitID_5030</v>
      </c>
      <c r="N275" s="55" t="s">
        <v>582</v>
      </c>
      <c r="O275" s="55" t="s">
        <v>729</v>
      </c>
      <c r="P275" s="19" t="s">
        <v>706</v>
      </c>
      <c r="Q275" s="101">
        <f t="shared" si="22"/>
        <v>-5.6562500004656568E-2</v>
      </c>
      <c r="R275" s="19" t="b">
        <v>1</v>
      </c>
      <c r="S275" s="19" t="b">
        <v>1</v>
      </c>
      <c r="V275" s="19" t="s">
        <v>730</v>
      </c>
    </row>
    <row r="276" spans="1:22">
      <c r="A276" s="17">
        <v>41730.697974537034</v>
      </c>
      <c r="B276" s="18">
        <v>41730.697974537034</v>
      </c>
      <c r="C276" s="17">
        <v>41731.342083333337</v>
      </c>
      <c r="D276" s="18">
        <v>41731.342083333337</v>
      </c>
      <c r="E276" s="19">
        <v>59</v>
      </c>
      <c r="F276" s="57" t="s">
        <v>722</v>
      </c>
      <c r="G276" s="19" t="str">
        <f t="shared" si="18"/>
        <v>76834</v>
      </c>
      <c r="H276" s="19" t="s">
        <v>251</v>
      </c>
      <c r="I276" s="19" t="s">
        <v>252</v>
      </c>
      <c r="J276" s="19" t="s">
        <v>190</v>
      </c>
      <c r="K276" s="19" t="s">
        <v>191</v>
      </c>
      <c r="L276" s="19">
        <v>5050</v>
      </c>
      <c r="M276" s="19" t="str">
        <f t="shared" si="21"/>
        <v>Radio 76834_UnitID_5050</v>
      </c>
      <c r="N276" s="55" t="s">
        <v>582</v>
      </c>
      <c r="O276" s="55"/>
      <c r="P276" s="19" t="s">
        <v>723</v>
      </c>
      <c r="Q276" s="101">
        <f t="shared" si="22"/>
        <v>-5.5891203696955882E-2</v>
      </c>
      <c r="R276" s="19" t="b">
        <v>1</v>
      </c>
      <c r="S276" s="19" t="b">
        <v>1</v>
      </c>
    </row>
    <row r="277" spans="1:22">
      <c r="A277" s="17">
        <v>41730.698807870373</v>
      </c>
      <c r="B277" s="18">
        <v>41730.698807870373</v>
      </c>
      <c r="C277" s="17">
        <v>41731.344166666669</v>
      </c>
      <c r="D277" s="18">
        <v>41731.344166666669</v>
      </c>
      <c r="E277" s="19">
        <v>59</v>
      </c>
      <c r="F277" s="57" t="s">
        <v>724</v>
      </c>
      <c r="G277" s="19" t="str">
        <f t="shared" si="18"/>
        <v>77816</v>
      </c>
      <c r="H277" s="19" t="s">
        <v>251</v>
      </c>
      <c r="I277" s="19" t="s">
        <v>252</v>
      </c>
      <c r="J277" s="19" t="s">
        <v>190</v>
      </c>
      <c r="K277" s="19" t="s">
        <v>191</v>
      </c>
      <c r="L277" s="19">
        <v>5040</v>
      </c>
      <c r="M277" s="19" t="str">
        <f t="shared" si="21"/>
        <v>Radio 77816_UnitID_5040</v>
      </c>
      <c r="N277" s="55" t="s">
        <v>582</v>
      </c>
      <c r="O277" s="55"/>
      <c r="P277" s="19" t="s">
        <v>723</v>
      </c>
      <c r="Q277" s="101">
        <f t="shared" si="22"/>
        <v>-5.4641203703067687E-2</v>
      </c>
      <c r="R277" s="19" t="b">
        <v>1</v>
      </c>
      <c r="S277" s="19" t="b">
        <v>1</v>
      </c>
      <c r="V277" s="19" t="s">
        <v>833</v>
      </c>
    </row>
    <row r="278" spans="1:22">
      <c r="A278" s="17">
        <v>41730.70008101852</v>
      </c>
      <c r="B278" s="18">
        <v>41730.70008101852</v>
      </c>
      <c r="C278" s="17">
        <v>41731.34479166667</v>
      </c>
      <c r="D278" s="18">
        <v>41731.34479166667</v>
      </c>
      <c r="E278" s="19">
        <v>59</v>
      </c>
      <c r="F278" s="57" t="s">
        <v>725</v>
      </c>
      <c r="G278" s="19" t="str">
        <f t="shared" si="18"/>
        <v>76267</v>
      </c>
      <c r="H278" s="19" t="s">
        <v>251</v>
      </c>
      <c r="I278" s="19" t="s">
        <v>190</v>
      </c>
      <c r="J278" s="19" t="s">
        <v>190</v>
      </c>
      <c r="K278" s="19" t="s">
        <v>191</v>
      </c>
      <c r="L278" s="19">
        <v>5080</v>
      </c>
      <c r="M278" s="19" t="str">
        <f t="shared" si="21"/>
        <v>Radio 76267_UnitID_5080</v>
      </c>
      <c r="N278" s="55" t="s">
        <v>582</v>
      </c>
      <c r="O278" s="55"/>
      <c r="P278" s="19" t="s">
        <v>706</v>
      </c>
      <c r="Q278" s="101">
        <f t="shared" si="22"/>
        <v>-5.528935184993311E-2</v>
      </c>
      <c r="R278" s="19" t="b">
        <v>1</v>
      </c>
      <c r="S278" s="19" t="b">
        <v>1</v>
      </c>
    </row>
    <row r="279" spans="1:22">
      <c r="A279" s="17">
        <v>41730.702592592592</v>
      </c>
      <c r="B279" s="18">
        <v>41730.702592592592</v>
      </c>
      <c r="C279" s="17">
        <v>41731.340590277781</v>
      </c>
      <c r="D279" s="18">
        <v>41731.340590277781</v>
      </c>
      <c r="E279" s="19">
        <v>59</v>
      </c>
      <c r="F279" s="57" t="s">
        <v>726</v>
      </c>
      <c r="G279" s="19" t="str">
        <f t="shared" si="18"/>
        <v>78548</v>
      </c>
      <c r="H279" s="19" t="s">
        <v>251</v>
      </c>
      <c r="I279" s="19" t="s">
        <v>190</v>
      </c>
      <c r="J279" s="19" t="s">
        <v>190</v>
      </c>
      <c r="K279" s="19" t="s">
        <v>191</v>
      </c>
      <c r="L279" s="19">
        <v>5000</v>
      </c>
      <c r="M279" s="19" t="str">
        <f t="shared" si="21"/>
        <v>Radio 78548_UnitID_5000</v>
      </c>
      <c r="N279" s="55" t="s">
        <v>582</v>
      </c>
      <c r="O279" s="55"/>
      <c r="P279" s="19" t="s">
        <v>706</v>
      </c>
      <c r="Q279" s="101">
        <f t="shared" si="22"/>
        <v>-6.200231481052465E-2</v>
      </c>
      <c r="R279" s="19" t="b">
        <v>1</v>
      </c>
      <c r="S279" s="19" t="b">
        <v>1</v>
      </c>
    </row>
    <row r="280" spans="1:22">
      <c r="A280" s="17">
        <v>41730.703101851854</v>
      </c>
      <c r="B280" s="18">
        <v>41730.703101851854</v>
      </c>
      <c r="C280" s="17">
        <v>41731.314444444448</v>
      </c>
      <c r="D280" s="18">
        <v>41731.314444444448</v>
      </c>
      <c r="E280" s="19">
        <v>59</v>
      </c>
      <c r="F280" s="57" t="s">
        <v>727</v>
      </c>
      <c r="G280" s="19" t="str">
        <f t="shared" si="18"/>
        <v>78618</v>
      </c>
      <c r="H280" s="19" t="s">
        <v>251</v>
      </c>
      <c r="I280" s="19" t="s">
        <v>252</v>
      </c>
      <c r="J280" s="19" t="s">
        <v>190</v>
      </c>
      <c r="K280" s="19" t="s">
        <v>191</v>
      </c>
      <c r="L280" s="19">
        <v>5060</v>
      </c>
      <c r="M280" s="19" t="str">
        <f t="shared" si="21"/>
        <v>Radio 78618_UnitID_5060</v>
      </c>
      <c r="N280" s="55" t="s">
        <v>582</v>
      </c>
      <c r="O280" s="55"/>
      <c r="P280" s="19" t="s">
        <v>723</v>
      </c>
      <c r="Q280" s="101">
        <f t="shared" si="22"/>
        <v>-8.865740740584438E-2</v>
      </c>
      <c r="R280" s="19" t="b">
        <v>1</v>
      </c>
      <c r="S280" s="19" t="b">
        <v>1</v>
      </c>
      <c r="V280" s="19" t="s">
        <v>834</v>
      </c>
    </row>
    <row r="281" spans="1:22">
      <c r="A281" s="17">
        <v>41732.296724537038</v>
      </c>
      <c r="B281" s="18">
        <v>41732.296724537038</v>
      </c>
      <c r="C281" s="17">
        <v>41732.458356481482</v>
      </c>
      <c r="D281" s="18">
        <v>41732.458356481482</v>
      </c>
      <c r="E281" s="19">
        <v>60</v>
      </c>
      <c r="F281" s="57" t="s">
        <v>742</v>
      </c>
      <c r="G281" s="19" t="str">
        <f t="shared" ref="G281:G291" si="23">RIGHT(F281,5)</f>
        <v xml:space="preserve">  </v>
      </c>
      <c r="H281" s="19" t="s">
        <v>734</v>
      </c>
      <c r="I281" s="19" t="s">
        <v>732</v>
      </c>
      <c r="J281" s="19" t="s">
        <v>190</v>
      </c>
      <c r="K281" s="19" t="s">
        <v>191</v>
      </c>
      <c r="L281" s="19">
        <v>5400</v>
      </c>
      <c r="M281" s="19" t="str">
        <f t="shared" ref="M281:M291" si="24">CONCATENATE("Radio ",G281,"_UnitID_",L281)</f>
        <v>Radio   _UnitID_5400</v>
      </c>
      <c r="N281" s="55" t="s">
        <v>631</v>
      </c>
      <c r="O281" s="55"/>
      <c r="P281" s="19" t="s">
        <v>706</v>
      </c>
      <c r="Q281" s="101">
        <f t="shared" ref="Q281:Q291" si="25">IF(D281-B281 &gt; 2,((D281-B281)-1.7),IF(D281-B281 &gt; 1,(D281-B281)-0.7,IF(D281-B281 &gt; 0.5,(D281-B281)-0.7,(D281-B281))))</f>
        <v>0.16163194444379769</v>
      </c>
      <c r="R281" s="19" t="b">
        <v>1</v>
      </c>
      <c r="S281" s="19" t="b">
        <v>1</v>
      </c>
    </row>
    <row r="282" spans="1:22">
      <c r="A282" s="17">
        <v>41732.297800925924</v>
      </c>
      <c r="B282" s="18">
        <v>41732.297800925924</v>
      </c>
      <c r="C282" s="17">
        <v>41732.44394675926</v>
      </c>
      <c r="D282" s="18">
        <v>41732.44394675926</v>
      </c>
      <c r="E282" s="19">
        <v>60</v>
      </c>
      <c r="F282" s="57" t="s">
        <v>733</v>
      </c>
      <c r="G282" s="19" t="str">
        <f t="shared" si="23"/>
        <v>76261</v>
      </c>
      <c r="H282" s="19" t="s">
        <v>251</v>
      </c>
      <c r="I282" s="19" t="s">
        <v>252</v>
      </c>
      <c r="J282" s="19" t="s">
        <v>190</v>
      </c>
      <c r="K282" s="19" t="s">
        <v>191</v>
      </c>
      <c r="L282" s="19">
        <v>5430</v>
      </c>
      <c r="M282" s="19" t="str">
        <f t="shared" si="24"/>
        <v>Radio 76261_UnitID_5430</v>
      </c>
      <c r="N282" s="55" t="s">
        <v>631</v>
      </c>
      <c r="O282" s="55"/>
      <c r="P282" s="19" t="s">
        <v>706</v>
      </c>
      <c r="Q282" s="101">
        <f t="shared" si="25"/>
        <v>0.14614583333604969</v>
      </c>
      <c r="R282" s="19" t="b">
        <v>1</v>
      </c>
      <c r="S282" s="19" t="b">
        <v>1</v>
      </c>
    </row>
    <row r="283" spans="1:22">
      <c r="A283" s="17">
        <v>41732.300763888888</v>
      </c>
      <c r="B283" s="18">
        <v>41732.300763888888</v>
      </c>
      <c r="C283" s="17">
        <v>41732.447581018518</v>
      </c>
      <c r="D283" s="18">
        <v>41732.447581018518</v>
      </c>
      <c r="E283" s="19">
        <v>60</v>
      </c>
      <c r="F283" s="57" t="s">
        <v>735</v>
      </c>
      <c r="G283" s="19" t="str">
        <f t="shared" si="23"/>
        <v>77830</v>
      </c>
      <c r="H283" s="19" t="s">
        <v>251</v>
      </c>
      <c r="I283" s="19" t="s">
        <v>252</v>
      </c>
      <c r="J283" s="19" t="s">
        <v>190</v>
      </c>
      <c r="K283" s="19" t="s">
        <v>191</v>
      </c>
      <c r="L283" s="19">
        <v>5470</v>
      </c>
      <c r="M283" s="19" t="str">
        <f t="shared" si="24"/>
        <v>Radio 77830_UnitID_5470</v>
      </c>
      <c r="N283" s="55" t="s">
        <v>631</v>
      </c>
      <c r="O283" s="55"/>
      <c r="P283" s="19" t="s">
        <v>706</v>
      </c>
      <c r="Q283" s="101">
        <f t="shared" si="25"/>
        <v>0.14681712962919846</v>
      </c>
      <c r="R283" s="19" t="b">
        <v>1</v>
      </c>
      <c r="S283" s="19" t="b">
        <v>1</v>
      </c>
    </row>
    <row r="284" spans="1:22">
      <c r="A284" s="17">
        <v>41732.303020833337</v>
      </c>
      <c r="B284" s="18">
        <v>41732.303020833337</v>
      </c>
      <c r="C284" s="17">
        <v>41732.455358796295</v>
      </c>
      <c r="D284" s="18">
        <v>41732.455358796295</v>
      </c>
      <c r="E284" s="19">
        <v>60</v>
      </c>
      <c r="F284" s="57" t="s">
        <v>736</v>
      </c>
      <c r="G284" s="19" t="str">
        <f t="shared" si="23"/>
        <v>75052</v>
      </c>
      <c r="H284" s="19" t="s">
        <v>251</v>
      </c>
      <c r="I284" s="19" t="s">
        <v>252</v>
      </c>
      <c r="J284" s="19" t="s">
        <v>190</v>
      </c>
      <c r="K284" s="19" t="s">
        <v>191</v>
      </c>
      <c r="L284" s="19">
        <v>5440</v>
      </c>
      <c r="M284" s="19" t="str">
        <f t="shared" si="24"/>
        <v>Radio 75052_UnitID_5440</v>
      </c>
      <c r="N284" s="55" t="s">
        <v>631</v>
      </c>
      <c r="O284" s="55"/>
      <c r="P284" s="19" t="s">
        <v>723</v>
      </c>
      <c r="Q284" s="101">
        <f t="shared" si="25"/>
        <v>0.15233796295797219</v>
      </c>
      <c r="R284" s="19" t="b">
        <v>1</v>
      </c>
      <c r="S284" s="19" t="b">
        <v>1</v>
      </c>
      <c r="V284" s="19" t="s">
        <v>835</v>
      </c>
    </row>
    <row r="285" spans="1:22">
      <c r="A285" s="17">
        <v>41732.450914351852</v>
      </c>
      <c r="B285" s="18">
        <v>41732.450914351852</v>
      </c>
      <c r="C285" s="17">
        <v>41732.452175925922</v>
      </c>
      <c r="D285" s="18">
        <v>41732.452175925922</v>
      </c>
      <c r="E285" s="19">
        <v>60</v>
      </c>
      <c r="F285" s="57" t="s">
        <v>741</v>
      </c>
      <c r="G285" s="19" t="str">
        <f t="shared" si="23"/>
        <v>78574</v>
      </c>
      <c r="H285" s="19" t="s">
        <v>251</v>
      </c>
      <c r="I285" s="19" t="s">
        <v>252</v>
      </c>
      <c r="J285" s="19" t="s">
        <v>190</v>
      </c>
      <c r="K285" s="19" t="s">
        <v>191</v>
      </c>
      <c r="L285" s="19">
        <v>5460</v>
      </c>
      <c r="M285" s="19" t="str">
        <f t="shared" si="24"/>
        <v>Radio 78574_UnitID_5460</v>
      </c>
      <c r="N285" s="55" t="s">
        <v>631</v>
      </c>
      <c r="O285" s="55"/>
      <c r="P285" s="19" t="s">
        <v>706</v>
      </c>
      <c r="Q285" s="101">
        <f t="shared" si="25"/>
        <v>1.261574070667848E-3</v>
      </c>
      <c r="R285" s="19" t="b">
        <v>1</v>
      </c>
      <c r="S285" s="19" t="b">
        <v>1</v>
      </c>
    </row>
    <row r="286" spans="1:22" ht="45">
      <c r="A286" s="17">
        <v>41732.525069444448</v>
      </c>
      <c r="B286" s="18">
        <v>41732.525069444448</v>
      </c>
      <c r="C286" s="17">
        <v>41732.570254629631</v>
      </c>
      <c r="D286" s="18">
        <v>41732.570254629631</v>
      </c>
      <c r="E286" s="19">
        <v>61</v>
      </c>
      <c r="F286" s="57" t="s">
        <v>743</v>
      </c>
      <c r="G286" s="19" t="str">
        <f t="shared" si="23"/>
        <v>78677</v>
      </c>
      <c r="H286" s="19" t="s">
        <v>251</v>
      </c>
      <c r="I286" s="19" t="s">
        <v>252</v>
      </c>
      <c r="J286" s="19" t="s">
        <v>190</v>
      </c>
      <c r="K286" s="19" t="s">
        <v>191</v>
      </c>
      <c r="L286" s="19">
        <v>5850</v>
      </c>
      <c r="M286" s="19" t="str">
        <f t="shared" si="24"/>
        <v>Radio 78677_UnitID_5850</v>
      </c>
      <c r="N286" s="55" t="s">
        <v>360</v>
      </c>
      <c r="O286" s="55"/>
      <c r="P286" s="55" t="s">
        <v>744</v>
      </c>
      <c r="Q286" s="101">
        <f t="shared" si="25"/>
        <v>4.5185185183072463E-2</v>
      </c>
      <c r="R286" s="19" t="b">
        <v>1</v>
      </c>
      <c r="S286" s="19" t="b">
        <v>1</v>
      </c>
    </row>
    <row r="287" spans="1:22" ht="45">
      <c r="A287" s="17">
        <v>41732.525868055556</v>
      </c>
      <c r="B287" s="18">
        <v>41732.525868055556</v>
      </c>
      <c r="C287" s="17">
        <v>41732.561562499999</v>
      </c>
      <c r="D287" s="18">
        <v>41732.561562499999</v>
      </c>
      <c r="E287" s="19">
        <v>61</v>
      </c>
      <c r="F287" s="57" t="s">
        <v>745</v>
      </c>
      <c r="G287" s="19" t="str">
        <f t="shared" si="23"/>
        <v>77370</v>
      </c>
      <c r="H287" s="19" t="s">
        <v>251</v>
      </c>
      <c r="I287" s="19" t="s">
        <v>252</v>
      </c>
      <c r="J287" s="19" t="s">
        <v>190</v>
      </c>
      <c r="K287" s="19" t="s">
        <v>191</v>
      </c>
      <c r="L287" s="19">
        <v>5830</v>
      </c>
      <c r="M287" s="19" t="str">
        <f t="shared" si="24"/>
        <v>Radio 77370_UnitID_5830</v>
      </c>
      <c r="N287" s="55" t="s">
        <v>360</v>
      </c>
      <c r="O287" s="55"/>
      <c r="P287" s="55" t="s">
        <v>744</v>
      </c>
      <c r="Q287" s="101">
        <f t="shared" si="25"/>
        <v>3.5694444442924578E-2</v>
      </c>
      <c r="R287" s="19" t="b">
        <v>1</v>
      </c>
      <c r="S287" s="19" t="b">
        <v>1</v>
      </c>
    </row>
    <row r="288" spans="1:22" ht="45">
      <c r="A288" s="17">
        <v>41732.53292824074</v>
      </c>
      <c r="B288" s="18">
        <v>41732.53292824074</v>
      </c>
      <c r="C288" s="17">
        <v>41732.581967592596</v>
      </c>
      <c r="D288" s="18">
        <v>41732.581967592596</v>
      </c>
      <c r="E288" s="19">
        <v>61</v>
      </c>
      <c r="F288" s="57" t="s">
        <v>746</v>
      </c>
      <c r="G288" s="19" t="str">
        <f t="shared" si="23"/>
        <v>78587</v>
      </c>
      <c r="H288" s="19" t="s">
        <v>251</v>
      </c>
      <c r="I288" s="19" t="s">
        <v>252</v>
      </c>
      <c r="J288" s="19" t="s">
        <v>190</v>
      </c>
      <c r="K288" s="19" t="s">
        <v>191</v>
      </c>
      <c r="L288" s="19">
        <v>5800</v>
      </c>
      <c r="M288" s="19" t="str">
        <f t="shared" si="24"/>
        <v>Radio 78587_UnitID_5800</v>
      </c>
      <c r="N288" s="55" t="s">
        <v>360</v>
      </c>
      <c r="O288" s="55"/>
      <c r="P288" s="55" t="s">
        <v>744</v>
      </c>
      <c r="Q288" s="101">
        <f t="shared" si="25"/>
        <v>4.9039351855753921E-2</v>
      </c>
      <c r="R288" s="19" t="b">
        <v>1</v>
      </c>
      <c r="S288" s="19" t="b">
        <v>1</v>
      </c>
    </row>
    <row r="289" spans="1:22" ht="45">
      <c r="A289" s="17">
        <v>41732.533402777779</v>
      </c>
      <c r="B289" s="18">
        <v>41732.533402777779</v>
      </c>
      <c r="C289" s="17">
        <v>41732.571759259263</v>
      </c>
      <c r="D289" s="18">
        <v>41732.571759259263</v>
      </c>
      <c r="E289" s="19">
        <v>61</v>
      </c>
      <c r="F289" s="57" t="s">
        <v>747</v>
      </c>
      <c r="G289" s="19" t="str">
        <f t="shared" si="23"/>
        <v>78571</v>
      </c>
      <c r="H289" s="19" t="s">
        <v>251</v>
      </c>
      <c r="I289" s="19" t="s">
        <v>252</v>
      </c>
      <c r="J289" s="19" t="s">
        <v>190</v>
      </c>
      <c r="K289" s="19" t="s">
        <v>191</v>
      </c>
      <c r="L289" s="19">
        <v>5810</v>
      </c>
      <c r="M289" s="19" t="str">
        <f t="shared" si="24"/>
        <v>Radio 78571_UnitID_5810</v>
      </c>
      <c r="N289" s="55" t="s">
        <v>360</v>
      </c>
      <c r="O289" s="55"/>
      <c r="P289" s="55" t="s">
        <v>744</v>
      </c>
      <c r="Q289" s="101">
        <f t="shared" si="25"/>
        <v>3.835648148378823E-2</v>
      </c>
      <c r="R289" s="19" t="b">
        <v>1</v>
      </c>
      <c r="S289" s="19" t="b">
        <v>1</v>
      </c>
    </row>
    <row r="290" spans="1:22">
      <c r="A290" s="17">
        <v>41732.638032407405</v>
      </c>
      <c r="B290" s="18">
        <v>41732.638032407405</v>
      </c>
      <c r="C290" s="17">
        <v>41732.664074074077</v>
      </c>
      <c r="D290" s="18">
        <v>41732.664074074077</v>
      </c>
      <c r="E290" s="19">
        <v>62</v>
      </c>
      <c r="F290" s="57" t="s">
        <v>750</v>
      </c>
      <c r="G290" s="19" t="str">
        <f t="shared" si="23"/>
        <v>15170</v>
      </c>
      <c r="H290" s="19" t="s">
        <v>188</v>
      </c>
      <c r="I290" s="19" t="s">
        <v>751</v>
      </c>
      <c r="J290" s="19" t="s">
        <v>190</v>
      </c>
      <c r="K290" s="19" t="s">
        <v>191</v>
      </c>
      <c r="L290" s="19">
        <v>3009</v>
      </c>
      <c r="M290" s="19" t="str">
        <f t="shared" si="24"/>
        <v>Radio 15170_UnitID_3009</v>
      </c>
      <c r="N290" s="55" t="s">
        <v>253</v>
      </c>
      <c r="O290" s="55"/>
      <c r="P290" s="19" t="s">
        <v>241</v>
      </c>
      <c r="Q290" s="101">
        <f t="shared" si="25"/>
        <v>2.6041666671517305E-2</v>
      </c>
      <c r="R290" s="19" t="b">
        <v>1</v>
      </c>
      <c r="S290" s="19" t="b">
        <v>1</v>
      </c>
    </row>
    <row r="291" spans="1:22">
      <c r="A291" s="17">
        <v>41732.658414351848</v>
      </c>
      <c r="B291" s="18">
        <v>41732.658414351848</v>
      </c>
      <c r="C291" s="17">
        <v>41732.659386574072</v>
      </c>
      <c r="D291" s="18">
        <v>41732.659386574072</v>
      </c>
      <c r="E291" s="19">
        <v>61</v>
      </c>
      <c r="F291" s="57" t="s">
        <v>752</v>
      </c>
      <c r="G291" s="19" t="str">
        <f t="shared" si="23"/>
        <v>78566</v>
      </c>
      <c r="H291" s="19" t="s">
        <v>251</v>
      </c>
      <c r="I291" s="19" t="s">
        <v>252</v>
      </c>
      <c r="J291" s="19" t="s">
        <v>190</v>
      </c>
      <c r="K291" s="19" t="s">
        <v>191</v>
      </c>
      <c r="L291" s="19">
        <v>5840</v>
      </c>
      <c r="M291" s="19" t="str">
        <f t="shared" si="24"/>
        <v>Radio 78566_UnitID_5840</v>
      </c>
      <c r="N291" s="55" t="s">
        <v>360</v>
      </c>
      <c r="O291" s="55"/>
      <c r="P291" s="19" t="s">
        <v>723</v>
      </c>
      <c r="Q291" s="101">
        <f t="shared" si="25"/>
        <v>9.7222222393611446E-4</v>
      </c>
      <c r="R291" s="19" t="b">
        <v>1</v>
      </c>
      <c r="S291" s="19" t="b">
        <v>1</v>
      </c>
      <c r="V291" s="19" t="s">
        <v>832</v>
      </c>
    </row>
    <row r="292" spans="1:22">
      <c r="A292" s="17">
        <v>41737.376134259262</v>
      </c>
      <c r="B292" s="18">
        <v>41737.376134259262</v>
      </c>
      <c r="C292" s="17">
        <v>41737.48951388889</v>
      </c>
      <c r="D292" s="18">
        <v>41737.48951388889</v>
      </c>
      <c r="E292" s="19">
        <v>63</v>
      </c>
      <c r="F292" s="57" t="s">
        <v>753</v>
      </c>
      <c r="G292" s="19" t="str">
        <f t="shared" ref="G292:G324" si="26">RIGHT(F292,5)</f>
        <v>78539</v>
      </c>
      <c r="H292" s="19" t="s">
        <v>251</v>
      </c>
      <c r="I292" s="19" t="s">
        <v>252</v>
      </c>
      <c r="J292" s="19" t="s">
        <v>190</v>
      </c>
      <c r="K292" s="19" t="s">
        <v>191</v>
      </c>
      <c r="L292" s="19">
        <v>5200</v>
      </c>
      <c r="M292" s="19" t="str">
        <f t="shared" ref="M292:M324" si="27">CONCATENATE("Radio ",G292,"_UnitID_",L292)</f>
        <v>Radio 78539_UnitID_5200</v>
      </c>
      <c r="N292" s="55" t="s">
        <v>416</v>
      </c>
      <c r="O292" s="55"/>
      <c r="P292" s="19" t="s">
        <v>754</v>
      </c>
      <c r="Q292" s="101">
        <f>IF(D292-B292 &gt; 2,((D292-B292)-1.7),IF(D292-B292 &gt; 1,(D292-B292)-0.7,IF(D292-B292 &gt; 0.5,(D292-B292)-0.7,(D292-B292))))</f>
        <v>0.11337962962716119</v>
      </c>
      <c r="R292" s="19" t="b">
        <v>1</v>
      </c>
      <c r="S292" s="19" t="b">
        <v>1</v>
      </c>
    </row>
    <row r="293" spans="1:22">
      <c r="A293" s="17">
        <v>41737.377141203702</v>
      </c>
      <c r="B293" s="18">
        <v>41737.377141203702</v>
      </c>
      <c r="C293" s="17">
        <v>41737.485081018516</v>
      </c>
      <c r="D293" s="18">
        <v>41737.485081018516</v>
      </c>
      <c r="E293" s="19">
        <v>63</v>
      </c>
      <c r="F293" s="57" t="s">
        <v>755</v>
      </c>
      <c r="G293" s="19" t="str">
        <f t="shared" si="26"/>
        <v>78599</v>
      </c>
      <c r="H293" s="19" t="s">
        <v>251</v>
      </c>
      <c r="I293" s="19" t="s">
        <v>252</v>
      </c>
      <c r="J293" s="19" t="s">
        <v>190</v>
      </c>
      <c r="K293" s="19" t="s">
        <v>191</v>
      </c>
      <c r="L293" s="19">
        <v>5250</v>
      </c>
      <c r="M293" s="19" t="str">
        <f t="shared" si="27"/>
        <v>Radio 78599_UnitID_5250</v>
      </c>
      <c r="N293" s="55" t="s">
        <v>416</v>
      </c>
      <c r="O293" s="55"/>
      <c r="P293" s="19" t="s">
        <v>754</v>
      </c>
      <c r="Q293" s="101">
        <f>IF(D293-B293 &gt; 2,((D293-B293)-1.7),IF(D293-B293 &gt; 1,(D293-B293)-0.7,IF(D293-B293 &gt; 0.5,(D293-B293)-0.7,(D293-B293))))</f>
        <v>0.10793981481401715</v>
      </c>
      <c r="R293" s="19" t="b">
        <v>1</v>
      </c>
      <c r="S293" s="19" t="b">
        <v>1</v>
      </c>
    </row>
    <row r="294" spans="1:22">
      <c r="A294" s="17">
        <v>41737.377638888887</v>
      </c>
      <c r="B294" s="18">
        <v>41737.377638888887</v>
      </c>
      <c r="C294" s="17">
        <v>41737.42701388889</v>
      </c>
      <c r="D294" s="18">
        <v>41737.42701388889</v>
      </c>
      <c r="E294" s="19">
        <v>63</v>
      </c>
      <c r="F294" s="57" t="s">
        <v>756</v>
      </c>
      <c r="G294" s="19" t="str">
        <f t="shared" si="26"/>
        <v>78653</v>
      </c>
      <c r="H294" s="19" t="s">
        <v>251</v>
      </c>
      <c r="I294" s="19" t="s">
        <v>252</v>
      </c>
      <c r="J294" s="19" t="s">
        <v>190</v>
      </c>
      <c r="K294" s="19" t="s">
        <v>191</v>
      </c>
      <c r="L294" s="19">
        <v>5210</v>
      </c>
      <c r="M294" s="19" t="str">
        <f t="shared" si="27"/>
        <v>Radio 78653_UnitID_5210</v>
      </c>
      <c r="N294" s="55" t="s">
        <v>416</v>
      </c>
      <c r="O294" s="55"/>
      <c r="P294" s="19" t="s">
        <v>754</v>
      </c>
      <c r="Q294" s="101">
        <f>IF(D294-B294 &gt; 2,((D294-B294)-1.7),IF(D294-B294 &gt; 1,(D294-B294)-0.7,IF(D294-B294 &gt; 0.5,(D294-B294)-0.7,(D294-B294))))</f>
        <v>4.9375000002328306E-2</v>
      </c>
      <c r="R294" s="19" t="b">
        <v>1</v>
      </c>
      <c r="S294" s="19" t="b">
        <v>1</v>
      </c>
    </row>
    <row r="295" spans="1:22">
      <c r="A295" s="17">
        <v>41737.378055555557</v>
      </c>
      <c r="B295" s="18">
        <v>41737.378055555557</v>
      </c>
      <c r="C295" s="17">
        <v>41737.493854166663</v>
      </c>
      <c r="D295" s="18">
        <v>41737.493854166663</v>
      </c>
      <c r="E295" s="19">
        <v>63</v>
      </c>
      <c r="F295" s="57" t="s">
        <v>757</v>
      </c>
      <c r="G295" s="19" t="str">
        <f t="shared" si="26"/>
        <v>78718</v>
      </c>
      <c r="H295" s="19" t="s">
        <v>251</v>
      </c>
      <c r="I295" s="19" t="s">
        <v>252</v>
      </c>
      <c r="J295" s="19" t="s">
        <v>190</v>
      </c>
      <c r="K295" s="19" t="s">
        <v>191</v>
      </c>
      <c r="L295" s="19">
        <v>5280</v>
      </c>
      <c r="M295" s="19" t="str">
        <f t="shared" si="27"/>
        <v>Radio 78718_UnitID_5280</v>
      </c>
      <c r="N295" s="55" t="s">
        <v>416</v>
      </c>
      <c r="O295" s="55"/>
      <c r="P295" s="19" t="s">
        <v>758</v>
      </c>
      <c r="Q295" s="101">
        <f>D295-B295</f>
        <v>0.11579861110658385</v>
      </c>
      <c r="R295" s="19" t="b">
        <v>1</v>
      </c>
      <c r="S295" s="19" t="b">
        <v>1</v>
      </c>
    </row>
    <row r="296" spans="1:22">
      <c r="A296" s="17">
        <v>41737.378761574073</v>
      </c>
      <c r="B296" s="18">
        <v>41737.378761574073</v>
      </c>
      <c r="C296" s="17">
        <v>41737.49486111111</v>
      </c>
      <c r="D296" s="18">
        <v>41737.49486111111</v>
      </c>
      <c r="E296" s="19">
        <v>63</v>
      </c>
      <c r="F296" s="57" t="s">
        <v>759</v>
      </c>
      <c r="G296" s="19" t="str">
        <f t="shared" si="26"/>
        <v>78547</v>
      </c>
      <c r="H296" s="19" t="s">
        <v>251</v>
      </c>
      <c r="I296" s="19" t="s">
        <v>252</v>
      </c>
      <c r="J296" s="19" t="s">
        <v>190</v>
      </c>
      <c r="K296" s="19" t="s">
        <v>191</v>
      </c>
      <c r="L296" s="19">
        <v>5260</v>
      </c>
      <c r="M296" s="19" t="str">
        <f t="shared" si="27"/>
        <v>Radio 78547_UnitID_5260</v>
      </c>
      <c r="N296" s="55" t="s">
        <v>416</v>
      </c>
      <c r="O296" s="55"/>
      <c r="P296" s="19" t="s">
        <v>760</v>
      </c>
      <c r="Q296" s="101">
        <f t="shared" ref="Q296:Q324" si="28">IF(D296-B296 &gt; 2,((D296-B296)-1.7),IF(D296-B296 &gt; 1,(D296-B296)-0.7,IF(D296-B296 &gt; 0.5,(D296-B296)-0.7,(D296-B296))))</f>
        <v>0.11609953703737119</v>
      </c>
      <c r="R296" s="19" t="b">
        <v>1</v>
      </c>
      <c r="S296" s="19" t="b">
        <v>1</v>
      </c>
    </row>
    <row r="297" spans="1:22">
      <c r="A297" s="17">
        <v>41737.379293981481</v>
      </c>
      <c r="B297" s="18">
        <v>41737.379293981481</v>
      </c>
      <c r="C297" s="17">
        <v>41737.486435185187</v>
      </c>
      <c r="D297" s="18">
        <v>41737.486435185187</v>
      </c>
      <c r="E297" s="19">
        <v>63</v>
      </c>
      <c r="F297" s="57" t="s">
        <v>761</v>
      </c>
      <c r="G297" s="19" t="str">
        <f t="shared" si="26"/>
        <v>78584</v>
      </c>
      <c r="H297" s="19" t="s">
        <v>251</v>
      </c>
      <c r="I297" s="19" t="s">
        <v>252</v>
      </c>
      <c r="J297" s="19" t="s">
        <v>190</v>
      </c>
      <c r="K297" s="19" t="s">
        <v>191</v>
      </c>
      <c r="L297" s="19">
        <v>5230</v>
      </c>
      <c r="M297" s="19" t="str">
        <f t="shared" si="27"/>
        <v>Radio 78584_UnitID_5230</v>
      </c>
      <c r="N297" s="55" t="s">
        <v>416</v>
      </c>
      <c r="O297" s="55"/>
      <c r="P297" s="19" t="s">
        <v>760</v>
      </c>
      <c r="Q297" s="101">
        <f t="shared" si="28"/>
        <v>0.10714120370539604</v>
      </c>
      <c r="R297" s="19" t="b">
        <v>1</v>
      </c>
      <c r="S297" s="19" t="b">
        <v>1</v>
      </c>
    </row>
    <row r="298" spans="1:22">
      <c r="A298" s="17">
        <v>41737.37972222222</v>
      </c>
      <c r="B298" s="18">
        <v>41737.37972222222</v>
      </c>
      <c r="C298" s="17">
        <v>41737.487893518519</v>
      </c>
      <c r="D298" s="18">
        <v>41737.487893518519</v>
      </c>
      <c r="E298" s="19">
        <v>63</v>
      </c>
      <c r="F298" s="57" t="s">
        <v>762</v>
      </c>
      <c r="G298" s="19" t="str">
        <f t="shared" si="26"/>
        <v>78567</v>
      </c>
      <c r="H298" s="19" t="s">
        <v>251</v>
      </c>
      <c r="I298" s="19" t="s">
        <v>252</v>
      </c>
      <c r="J298" s="19" t="s">
        <v>190</v>
      </c>
      <c r="K298" s="19" t="s">
        <v>191</v>
      </c>
      <c r="L298" s="19">
        <v>5270</v>
      </c>
      <c r="M298" s="19" t="str">
        <f t="shared" si="27"/>
        <v>Radio 78567_UnitID_5270</v>
      </c>
      <c r="N298" s="55" t="s">
        <v>416</v>
      </c>
      <c r="O298" s="55"/>
      <c r="P298" s="19" t="s">
        <v>763</v>
      </c>
      <c r="Q298" s="101">
        <f t="shared" si="28"/>
        <v>0.1081712962986785</v>
      </c>
      <c r="R298" s="19" t="b">
        <v>1</v>
      </c>
      <c r="S298" s="19" t="b">
        <v>1</v>
      </c>
    </row>
    <row r="299" spans="1:22">
      <c r="A299" s="17">
        <v>41737.380601851852</v>
      </c>
      <c r="B299" s="18">
        <v>41737.380601851852</v>
      </c>
      <c r="C299" s="17">
        <v>41737.491087962961</v>
      </c>
      <c r="D299" s="18">
        <v>41737.491087962961</v>
      </c>
      <c r="E299" s="19">
        <v>63</v>
      </c>
      <c r="F299" s="57" t="s">
        <v>764</v>
      </c>
      <c r="G299" s="19" t="str">
        <f t="shared" si="26"/>
        <v>78557</v>
      </c>
      <c r="H299" s="19" t="s">
        <v>251</v>
      </c>
      <c r="I299" s="19" t="s">
        <v>252</v>
      </c>
      <c r="J299" s="19" t="s">
        <v>190</v>
      </c>
      <c r="K299" s="19" t="s">
        <v>191</v>
      </c>
      <c r="L299" s="19">
        <v>5240</v>
      </c>
      <c r="M299" s="19" t="str">
        <f t="shared" si="27"/>
        <v>Radio 78557_UnitID_5240</v>
      </c>
      <c r="N299" s="55" t="s">
        <v>416</v>
      </c>
      <c r="O299" s="55"/>
      <c r="P299" s="19" t="s">
        <v>763</v>
      </c>
      <c r="Q299" s="101">
        <f t="shared" si="28"/>
        <v>0.11048611110891216</v>
      </c>
      <c r="R299" s="19" t="b">
        <v>1</v>
      </c>
      <c r="S299" s="19" t="b">
        <v>1</v>
      </c>
      <c r="V299" s="19" t="s">
        <v>836</v>
      </c>
    </row>
    <row r="300" spans="1:22">
      <c r="A300" s="17">
        <v>41739.519942129627</v>
      </c>
      <c r="B300" s="18">
        <v>41739.519942129627</v>
      </c>
      <c r="C300" s="17">
        <v>41739.589201388888</v>
      </c>
      <c r="D300" s="18">
        <v>41739.589201388888</v>
      </c>
      <c r="E300" s="19">
        <v>74</v>
      </c>
      <c r="F300" s="57" t="s">
        <v>848</v>
      </c>
      <c r="G300" s="19" t="str">
        <f>RIGHT(F300,5)</f>
        <v>78598</v>
      </c>
      <c r="H300" s="19" t="s">
        <v>251</v>
      </c>
      <c r="I300" s="19" t="s">
        <v>252</v>
      </c>
      <c r="J300" s="19" t="s">
        <v>190</v>
      </c>
      <c r="K300" s="19" t="s">
        <v>191</v>
      </c>
      <c r="L300" s="19">
        <v>5190</v>
      </c>
      <c r="M300" s="19" t="str">
        <f>CONCATENATE("Radio ",G300,"_UnitID_",L300)</f>
        <v>Radio 78598_UnitID_5190</v>
      </c>
      <c r="N300" s="55" t="s">
        <v>843</v>
      </c>
      <c r="O300" s="55" t="s">
        <v>850</v>
      </c>
      <c r="P300" s="19" t="s">
        <v>754</v>
      </c>
      <c r="Q300" s="101">
        <f>D300-B300</f>
        <v>6.9259259260434192E-2</v>
      </c>
      <c r="R300" s="19" t="b">
        <v>1</v>
      </c>
      <c r="S300" s="19" t="b">
        <v>1</v>
      </c>
      <c r="V300" s="19" t="s">
        <v>851</v>
      </c>
    </row>
    <row r="301" spans="1:22">
      <c r="A301" s="17">
        <v>41737.410983796297</v>
      </c>
      <c r="B301" s="18">
        <v>41737.410983796297</v>
      </c>
      <c r="C301" s="17">
        <v>41737.502071759256</v>
      </c>
      <c r="D301" s="18">
        <v>41737.502071759256</v>
      </c>
      <c r="E301" s="19">
        <v>64</v>
      </c>
      <c r="F301" s="57" t="s">
        <v>766</v>
      </c>
      <c r="G301" s="19" t="str">
        <f t="shared" si="26"/>
        <v>78699</v>
      </c>
      <c r="H301" s="19" t="s">
        <v>251</v>
      </c>
      <c r="I301" s="19" t="s">
        <v>252</v>
      </c>
      <c r="J301" s="19" t="s">
        <v>190</v>
      </c>
      <c r="K301" s="19" t="s">
        <v>191</v>
      </c>
      <c r="L301" s="19">
        <v>6150</v>
      </c>
      <c r="M301" s="19" t="str">
        <f t="shared" si="27"/>
        <v>Radio 78699_UnitID_6150</v>
      </c>
      <c r="N301" s="55" t="s">
        <v>765</v>
      </c>
      <c r="O301" s="55"/>
      <c r="P301" s="19" t="s">
        <v>754</v>
      </c>
      <c r="Q301" s="101">
        <f t="shared" si="28"/>
        <v>9.1087962959136348E-2</v>
      </c>
      <c r="R301" s="19" t="b">
        <v>1</v>
      </c>
      <c r="S301" s="19" t="b">
        <v>1</v>
      </c>
    </row>
    <row r="302" spans="1:22">
      <c r="A302" s="17">
        <v>41737.411539351851</v>
      </c>
      <c r="B302" s="18">
        <v>41737.411539351851</v>
      </c>
      <c r="C302" s="17">
        <v>41737.504733796297</v>
      </c>
      <c r="D302" s="18">
        <v>41737.504733796297</v>
      </c>
      <c r="E302" s="19">
        <v>64</v>
      </c>
      <c r="F302" s="57" t="s">
        <v>767</v>
      </c>
      <c r="G302" s="19" t="str">
        <f t="shared" si="26"/>
        <v>78550</v>
      </c>
      <c r="H302" s="19" t="s">
        <v>251</v>
      </c>
      <c r="I302" s="19" t="s">
        <v>252</v>
      </c>
      <c r="J302" s="19" t="s">
        <v>190</v>
      </c>
      <c r="K302" s="19" t="s">
        <v>191</v>
      </c>
      <c r="L302" s="19">
        <v>6180</v>
      </c>
      <c r="M302" s="19" t="str">
        <f t="shared" si="27"/>
        <v>Radio 78550_UnitID_6180</v>
      </c>
      <c r="N302" s="55" t="s">
        <v>765</v>
      </c>
      <c r="O302" s="55"/>
      <c r="P302" s="19" t="s">
        <v>754</v>
      </c>
      <c r="Q302" s="101">
        <f t="shared" si="28"/>
        <v>9.3194444445543922E-2</v>
      </c>
      <c r="R302" s="19" t="b">
        <v>1</v>
      </c>
      <c r="S302" s="19" t="b">
        <v>1</v>
      </c>
    </row>
    <row r="303" spans="1:22">
      <c r="A303" s="17">
        <v>41737.41207175926</v>
      </c>
      <c r="B303" s="18">
        <v>41737.41207175926</v>
      </c>
      <c r="C303" s="17">
        <v>41737.525081018517</v>
      </c>
      <c r="D303" s="18">
        <v>41737.525081018517</v>
      </c>
      <c r="E303" s="19">
        <v>64</v>
      </c>
      <c r="F303" s="57" t="s">
        <v>768</v>
      </c>
      <c r="G303" s="19" t="str">
        <f t="shared" si="26"/>
        <v>78675</v>
      </c>
      <c r="H303" s="19" t="s">
        <v>251</v>
      </c>
      <c r="I303" s="19" t="s">
        <v>252</v>
      </c>
      <c r="J303" s="19" t="s">
        <v>190</v>
      </c>
      <c r="K303" s="19" t="s">
        <v>191</v>
      </c>
      <c r="L303" s="19">
        <v>6100</v>
      </c>
      <c r="M303" s="19" t="str">
        <f t="shared" si="27"/>
        <v>Radio 78675_UnitID_6100</v>
      </c>
      <c r="N303" s="55" t="s">
        <v>765</v>
      </c>
      <c r="O303" s="55"/>
      <c r="P303" s="19" t="s">
        <v>754</v>
      </c>
      <c r="Q303" s="101">
        <f t="shared" si="28"/>
        <v>0.11300925925752381</v>
      </c>
      <c r="R303" s="19" t="b">
        <v>1</v>
      </c>
      <c r="S303" s="19" t="b">
        <v>1</v>
      </c>
    </row>
    <row r="304" spans="1:22">
      <c r="A304" s="17">
        <v>41737.412442129629</v>
      </c>
      <c r="B304" s="18">
        <v>41737.412442129629</v>
      </c>
      <c r="C304" s="17">
        <v>41737.521550925929</v>
      </c>
      <c r="D304" s="18">
        <v>41737.521550925929</v>
      </c>
      <c r="E304" s="19">
        <v>64</v>
      </c>
      <c r="F304" s="57" t="s">
        <v>769</v>
      </c>
      <c r="G304" s="19" t="str">
        <f t="shared" si="26"/>
        <v>97866</v>
      </c>
      <c r="H304" s="19" t="s">
        <v>251</v>
      </c>
      <c r="I304" s="19" t="s">
        <v>252</v>
      </c>
      <c r="J304" s="19" t="s">
        <v>190</v>
      </c>
      <c r="K304" s="19" t="s">
        <v>191</v>
      </c>
      <c r="L304" s="19">
        <v>7936</v>
      </c>
      <c r="M304" s="19" t="str">
        <f t="shared" si="27"/>
        <v>Radio 97866_UnitID_7936</v>
      </c>
      <c r="N304" s="55" t="s">
        <v>765</v>
      </c>
      <c r="O304" s="55"/>
      <c r="P304" s="19" t="s">
        <v>770</v>
      </c>
      <c r="Q304" s="101">
        <f t="shared" si="28"/>
        <v>0.10910879629955161</v>
      </c>
      <c r="R304" s="19" t="b">
        <v>1</v>
      </c>
      <c r="S304" s="19" t="b">
        <v>1</v>
      </c>
    </row>
    <row r="305" spans="1:22">
      <c r="A305" s="17">
        <v>41737.413113425922</v>
      </c>
      <c r="B305" s="18">
        <v>41737.413113425922</v>
      </c>
      <c r="C305" s="17">
        <v>41737.527928240743</v>
      </c>
      <c r="D305" s="18">
        <v>41737.527928240743</v>
      </c>
      <c r="E305" s="19">
        <v>64</v>
      </c>
      <c r="F305" s="57" t="s">
        <v>771</v>
      </c>
      <c r="G305" s="19" t="str">
        <f t="shared" si="26"/>
        <v>78658</v>
      </c>
      <c r="H305" s="19" t="s">
        <v>251</v>
      </c>
      <c r="I305" s="19" t="s">
        <v>252</v>
      </c>
      <c r="J305" s="19" t="s">
        <v>190</v>
      </c>
      <c r="K305" s="19" t="s">
        <v>191</v>
      </c>
      <c r="L305" s="19">
        <v>6140</v>
      </c>
      <c r="M305" s="19" t="str">
        <f t="shared" si="27"/>
        <v>Radio 78658_UnitID_6140</v>
      </c>
      <c r="N305" s="55" t="s">
        <v>765</v>
      </c>
      <c r="O305" s="55"/>
      <c r="P305" s="19" t="s">
        <v>772</v>
      </c>
      <c r="Q305" s="101">
        <f t="shared" si="28"/>
        <v>0.11481481482042</v>
      </c>
      <c r="R305" s="19" t="b">
        <v>1</v>
      </c>
      <c r="S305" s="19" t="b">
        <v>1</v>
      </c>
      <c r="V305" s="19" t="s">
        <v>837</v>
      </c>
    </row>
    <row r="306" spans="1:22">
      <c r="A306" s="17">
        <v>41737.414120370369</v>
      </c>
      <c r="B306" s="18">
        <v>41737.414120370369</v>
      </c>
      <c r="C306" s="17">
        <v>41737.498935185184</v>
      </c>
      <c r="D306" s="18">
        <v>41737.498935185184</v>
      </c>
      <c r="E306" s="19">
        <v>64</v>
      </c>
      <c r="F306" s="57" t="s">
        <v>773</v>
      </c>
      <c r="G306" s="19" t="str">
        <f t="shared" si="26"/>
        <v>78649</v>
      </c>
      <c r="H306" s="19" t="s">
        <v>251</v>
      </c>
      <c r="I306" s="19" t="s">
        <v>252</v>
      </c>
      <c r="J306" s="19" t="s">
        <v>190</v>
      </c>
      <c r="K306" s="19" t="s">
        <v>191</v>
      </c>
      <c r="L306" s="19">
        <v>6170</v>
      </c>
      <c r="M306" s="19" t="str">
        <f t="shared" si="27"/>
        <v>Radio 78649_UnitID_6170</v>
      </c>
      <c r="N306" s="55" t="s">
        <v>765</v>
      </c>
      <c r="O306" s="55"/>
      <c r="P306" s="19" t="s">
        <v>754</v>
      </c>
      <c r="Q306" s="101">
        <f t="shared" si="28"/>
        <v>8.4814814814308193E-2</v>
      </c>
      <c r="R306" s="19" t="b">
        <v>1</v>
      </c>
      <c r="S306" s="19" t="b">
        <v>1</v>
      </c>
    </row>
    <row r="307" spans="1:22">
      <c r="A307" s="17">
        <v>41737.414780092593</v>
      </c>
      <c r="B307" s="18">
        <v>41737.414780092593</v>
      </c>
      <c r="C307" s="17">
        <v>41737.503460648149</v>
      </c>
      <c r="D307" s="18">
        <v>41737.503460648149</v>
      </c>
      <c r="E307" s="19">
        <v>64</v>
      </c>
      <c r="F307" s="57" t="s">
        <v>774</v>
      </c>
      <c r="G307" s="19" t="str">
        <f t="shared" si="26"/>
        <v>78715</v>
      </c>
      <c r="H307" s="19" t="s">
        <v>251</v>
      </c>
      <c r="I307" s="19" t="s">
        <v>252</v>
      </c>
      <c r="J307" s="19" t="s">
        <v>190</v>
      </c>
      <c r="K307" s="19" t="s">
        <v>191</v>
      </c>
      <c r="L307" s="19">
        <v>6160</v>
      </c>
      <c r="M307" s="19" t="str">
        <f t="shared" si="27"/>
        <v>Radio 78715_UnitID_6160</v>
      </c>
      <c r="N307" s="55" t="s">
        <v>765</v>
      </c>
      <c r="O307" s="55"/>
      <c r="P307" s="19" t="s">
        <v>754</v>
      </c>
      <c r="Q307" s="101">
        <f t="shared" si="28"/>
        <v>8.8680555556493346E-2</v>
      </c>
      <c r="R307" s="19" t="b">
        <v>1</v>
      </c>
      <c r="S307" s="19" t="b">
        <v>1</v>
      </c>
      <c r="V307" s="19" t="s">
        <v>781</v>
      </c>
    </row>
    <row r="308" spans="1:22" ht="30">
      <c r="A308" s="17">
        <v>41737.512280092589</v>
      </c>
      <c r="B308" s="18">
        <v>41737.512280092589</v>
      </c>
      <c r="C308" s="17">
        <v>41737.545162037037</v>
      </c>
      <c r="D308" s="18">
        <v>41737.545162037037</v>
      </c>
      <c r="E308" s="19">
        <v>65</v>
      </c>
      <c r="F308" s="57" t="s">
        <v>775</v>
      </c>
      <c r="G308" s="19" t="str">
        <f t="shared" si="26"/>
        <v>78565</v>
      </c>
      <c r="H308" s="19" t="s">
        <v>251</v>
      </c>
      <c r="I308" s="19" t="s">
        <v>252</v>
      </c>
      <c r="J308" s="19" t="s">
        <v>190</v>
      </c>
      <c r="K308" s="19" t="s">
        <v>191</v>
      </c>
      <c r="L308" s="19">
        <v>6330</v>
      </c>
      <c r="M308" s="19" t="str">
        <f t="shared" si="27"/>
        <v>Radio 78565_UnitID_6330</v>
      </c>
      <c r="N308" s="55" t="s">
        <v>776</v>
      </c>
      <c r="O308" s="55"/>
      <c r="P308" s="19" t="s">
        <v>754</v>
      </c>
      <c r="Q308" s="101">
        <f t="shared" si="28"/>
        <v>3.2881944447581191E-2</v>
      </c>
      <c r="R308" s="19" t="b">
        <v>1</v>
      </c>
      <c r="S308" s="19" t="b">
        <v>1</v>
      </c>
    </row>
    <row r="309" spans="1:22" ht="30">
      <c r="A309" s="17">
        <v>41737.51289351852</v>
      </c>
      <c r="B309" s="18">
        <v>41737.51289351852</v>
      </c>
      <c r="C309" s="17">
        <v>41737.549571759257</v>
      </c>
      <c r="D309" s="18">
        <v>41737.549571759257</v>
      </c>
      <c r="E309" s="19">
        <v>65</v>
      </c>
      <c r="F309" s="57" t="s">
        <v>777</v>
      </c>
      <c r="G309" s="19" t="str">
        <f t="shared" si="26"/>
        <v>78684</v>
      </c>
      <c r="H309" s="19" t="s">
        <v>251</v>
      </c>
      <c r="I309" s="19" t="s">
        <v>252</v>
      </c>
      <c r="J309" s="19" t="s">
        <v>190</v>
      </c>
      <c r="K309" s="19" t="s">
        <v>191</v>
      </c>
      <c r="L309" s="19">
        <v>6350</v>
      </c>
      <c r="M309" s="19" t="str">
        <f t="shared" si="27"/>
        <v>Radio 78684_UnitID_6350</v>
      </c>
      <c r="N309" s="55" t="s">
        <v>776</v>
      </c>
      <c r="O309" s="55"/>
      <c r="P309" s="19" t="s">
        <v>754</v>
      </c>
      <c r="Q309" s="101">
        <f t="shared" si="28"/>
        <v>3.6678240736364387E-2</v>
      </c>
      <c r="R309" s="19" t="b">
        <v>1</v>
      </c>
      <c r="S309" s="19" t="b">
        <v>1</v>
      </c>
    </row>
    <row r="310" spans="1:22" ht="30">
      <c r="A310" s="17">
        <v>41737.513321759259</v>
      </c>
      <c r="B310" s="18">
        <v>41737.513321759259</v>
      </c>
      <c r="C310" s="17">
        <v>41737.545277777775</v>
      </c>
      <c r="D310" s="18">
        <v>41737.545277777775</v>
      </c>
      <c r="E310" s="19">
        <v>65</v>
      </c>
      <c r="F310" s="57" t="s">
        <v>778</v>
      </c>
      <c r="G310" s="19" t="str">
        <f t="shared" si="26"/>
        <v>78704</v>
      </c>
      <c r="H310" s="19" t="s">
        <v>251</v>
      </c>
      <c r="I310" s="19" t="s">
        <v>252</v>
      </c>
      <c r="J310" s="19" t="s">
        <v>190</v>
      </c>
      <c r="K310" s="19" t="s">
        <v>191</v>
      </c>
      <c r="L310" s="19">
        <v>6340</v>
      </c>
      <c r="M310" s="19" t="str">
        <f t="shared" si="27"/>
        <v>Radio 78704_UnitID_6340</v>
      </c>
      <c r="N310" s="55" t="s">
        <v>776</v>
      </c>
      <c r="O310" s="55"/>
      <c r="P310" s="19" t="s">
        <v>754</v>
      </c>
      <c r="Q310" s="101">
        <f t="shared" si="28"/>
        <v>3.195601851621177E-2</v>
      </c>
      <c r="R310" s="19" t="b">
        <v>1</v>
      </c>
      <c r="S310" s="19" t="b">
        <v>1</v>
      </c>
    </row>
    <row r="311" spans="1:22" ht="30">
      <c r="A311" s="17">
        <v>41737.514699074076</v>
      </c>
      <c r="B311" s="18">
        <v>41737.514699074076</v>
      </c>
      <c r="C311" s="17">
        <v>41737.561886574076</v>
      </c>
      <c r="D311" s="18">
        <v>41737.561886574076</v>
      </c>
      <c r="E311" s="19">
        <v>65</v>
      </c>
      <c r="F311" s="57" t="s">
        <v>779</v>
      </c>
      <c r="G311" s="19" t="str">
        <f t="shared" si="26"/>
        <v>78683</v>
      </c>
      <c r="H311" s="19" t="s">
        <v>251</v>
      </c>
      <c r="I311" s="19" t="s">
        <v>252</v>
      </c>
      <c r="J311" s="19" t="s">
        <v>190</v>
      </c>
      <c r="K311" s="19" t="s">
        <v>191</v>
      </c>
      <c r="L311" s="19">
        <v>6360</v>
      </c>
      <c r="M311" s="19" t="str">
        <f t="shared" si="27"/>
        <v>Radio 78683_UnitID_6360</v>
      </c>
      <c r="N311" s="55" t="s">
        <v>776</v>
      </c>
      <c r="O311" s="55"/>
      <c r="P311" s="19" t="s">
        <v>754</v>
      </c>
      <c r="Q311" s="101">
        <f t="shared" si="28"/>
        <v>4.7187500000291038E-2</v>
      </c>
      <c r="R311" s="19" t="b">
        <v>1</v>
      </c>
      <c r="S311" s="19" t="b">
        <v>1</v>
      </c>
    </row>
    <row r="312" spans="1:22" ht="30">
      <c r="A312" s="17">
        <v>41737.51803240741</v>
      </c>
      <c r="B312" s="18">
        <v>41737.51803240741</v>
      </c>
      <c r="C312" s="17">
        <v>41737.556539351855</v>
      </c>
      <c r="D312" s="18">
        <v>41737.556539351855</v>
      </c>
      <c r="E312" s="19">
        <v>65</v>
      </c>
      <c r="F312" s="57" t="s">
        <v>780</v>
      </c>
      <c r="G312" s="19" t="str">
        <f t="shared" si="26"/>
        <v>78678</v>
      </c>
      <c r="H312" s="19" t="s">
        <v>251</v>
      </c>
      <c r="I312" s="19" t="s">
        <v>252</v>
      </c>
      <c r="J312" s="19" t="s">
        <v>190</v>
      </c>
      <c r="K312" s="19" t="s">
        <v>191</v>
      </c>
      <c r="L312" s="19">
        <v>6300</v>
      </c>
      <c r="M312" s="19" t="str">
        <f t="shared" si="27"/>
        <v>Radio 78678_UnitID_6300</v>
      </c>
      <c r="N312" s="55" t="s">
        <v>776</v>
      </c>
      <c r="O312" s="55" t="s">
        <v>672</v>
      </c>
      <c r="P312" s="19" t="s">
        <v>754</v>
      </c>
      <c r="Q312" s="101">
        <f t="shared" si="28"/>
        <v>3.8506944445543922E-2</v>
      </c>
      <c r="R312" s="19" t="b">
        <v>1</v>
      </c>
      <c r="S312" s="19" t="b">
        <v>1</v>
      </c>
    </row>
    <row r="313" spans="1:22">
      <c r="A313" s="17">
        <v>41737.630729166667</v>
      </c>
      <c r="B313" s="18">
        <v>41737.630729166667</v>
      </c>
      <c r="C313" s="17">
        <v>41737.668287037035</v>
      </c>
      <c r="D313" s="18">
        <v>41737.668287037035</v>
      </c>
      <c r="E313" s="19">
        <v>66</v>
      </c>
      <c r="F313" s="57" t="s">
        <v>782</v>
      </c>
      <c r="G313" s="19" t="str">
        <f t="shared" si="26"/>
        <v>78688</v>
      </c>
      <c r="H313" s="19" t="s">
        <v>251</v>
      </c>
      <c r="I313" s="19" t="s">
        <v>252</v>
      </c>
      <c r="J313" s="19" t="s">
        <v>190</v>
      </c>
      <c r="K313" s="19" t="s">
        <v>191</v>
      </c>
      <c r="L313" s="19">
        <v>6200</v>
      </c>
      <c r="M313" s="19" t="str">
        <f t="shared" si="27"/>
        <v>Radio 78688_UnitID_6200</v>
      </c>
      <c r="N313" s="55" t="s">
        <v>783</v>
      </c>
      <c r="O313" s="55"/>
      <c r="P313" s="19" t="s">
        <v>754</v>
      </c>
      <c r="Q313" s="101">
        <f t="shared" si="28"/>
        <v>3.7557870367891155E-2</v>
      </c>
      <c r="R313" s="19" t="b">
        <v>1</v>
      </c>
      <c r="S313" s="19" t="b">
        <v>1</v>
      </c>
      <c r="V313" s="19" t="s">
        <v>788</v>
      </c>
    </row>
    <row r="314" spans="1:22">
      <c r="A314" s="17">
        <v>41737.631354166668</v>
      </c>
      <c r="B314" s="18">
        <v>41737.631354166668</v>
      </c>
      <c r="C314" s="17">
        <v>41737.670289351852</v>
      </c>
      <c r="D314" s="18">
        <v>41737.670289351852</v>
      </c>
      <c r="E314" s="19">
        <v>66</v>
      </c>
      <c r="F314" s="57" t="s">
        <v>784</v>
      </c>
      <c r="G314" s="19" t="str">
        <f t="shared" si="26"/>
        <v>78700</v>
      </c>
      <c r="H314" s="19" t="s">
        <v>251</v>
      </c>
      <c r="I314" s="19" t="s">
        <v>252</v>
      </c>
      <c r="J314" s="19" t="s">
        <v>190</v>
      </c>
      <c r="K314" s="19" t="s">
        <v>191</v>
      </c>
      <c r="L314" s="19">
        <v>6260</v>
      </c>
      <c r="M314" s="19" t="str">
        <f t="shared" si="27"/>
        <v>Radio 78700_UnitID_6260</v>
      </c>
      <c r="N314" s="55" t="s">
        <v>783</v>
      </c>
      <c r="O314" s="55"/>
      <c r="P314" s="19" t="s">
        <v>754</v>
      </c>
      <c r="Q314" s="101">
        <f t="shared" si="28"/>
        <v>3.8935185184527654E-2</v>
      </c>
      <c r="R314" s="19" t="b">
        <v>1</v>
      </c>
      <c r="S314" s="19" t="b">
        <v>1</v>
      </c>
    </row>
    <row r="315" spans="1:22">
      <c r="A315" s="17">
        <v>41737.632650462961</v>
      </c>
      <c r="B315" s="18">
        <v>41737.632650462961</v>
      </c>
      <c r="C315" s="17">
        <v>41737.66883101852</v>
      </c>
      <c r="D315" s="18">
        <v>41737.66883101852</v>
      </c>
      <c r="E315" s="19">
        <v>66</v>
      </c>
      <c r="F315" s="57" t="s">
        <v>785</v>
      </c>
      <c r="G315" s="19" t="str">
        <f t="shared" si="26"/>
        <v>74737</v>
      </c>
      <c r="H315" s="19" t="s">
        <v>251</v>
      </c>
      <c r="I315" s="19" t="s">
        <v>252</v>
      </c>
      <c r="J315" s="19" t="s">
        <v>190</v>
      </c>
      <c r="K315" s="19" t="s">
        <v>191</v>
      </c>
      <c r="L315" s="19">
        <v>6270</v>
      </c>
      <c r="M315" s="19" t="str">
        <f t="shared" si="27"/>
        <v>Radio 74737_UnitID_6270</v>
      </c>
      <c r="N315" s="55" t="s">
        <v>783</v>
      </c>
      <c r="O315" s="55"/>
      <c r="P315" s="19" t="s">
        <v>754</v>
      </c>
      <c r="Q315" s="101">
        <f t="shared" si="28"/>
        <v>3.6180555558530614E-2</v>
      </c>
      <c r="R315" s="19" t="b">
        <v>1</v>
      </c>
      <c r="S315" s="19" t="b">
        <v>1</v>
      </c>
    </row>
    <row r="316" spans="1:22">
      <c r="A316" s="17">
        <v>41737.634166666663</v>
      </c>
      <c r="B316" s="18">
        <v>41737.634166666663</v>
      </c>
      <c r="C316" s="17">
        <v>41737.676215277781</v>
      </c>
      <c r="D316" s="18">
        <v>41737.676215277781</v>
      </c>
      <c r="E316" s="19">
        <v>66</v>
      </c>
      <c r="F316" s="57" t="s">
        <v>786</v>
      </c>
      <c r="G316" s="19" t="str">
        <f t="shared" si="26"/>
        <v>77827</v>
      </c>
      <c r="H316" s="19" t="s">
        <v>251</v>
      </c>
      <c r="I316" s="19" t="s">
        <v>252</v>
      </c>
      <c r="J316" s="19" t="s">
        <v>190</v>
      </c>
      <c r="K316" s="19" t="s">
        <v>191</v>
      </c>
      <c r="L316" s="19">
        <v>6240</v>
      </c>
      <c r="M316" s="19" t="str">
        <f t="shared" si="27"/>
        <v>Radio 77827_UnitID_6240</v>
      </c>
      <c r="N316" s="55" t="s">
        <v>783</v>
      </c>
      <c r="O316" s="55"/>
      <c r="P316" s="19" t="s">
        <v>787</v>
      </c>
      <c r="Q316" s="101">
        <f t="shared" si="28"/>
        <v>4.2048611117934342E-2</v>
      </c>
      <c r="R316" s="19" t="b">
        <v>1</v>
      </c>
      <c r="S316" s="19" t="b">
        <v>1</v>
      </c>
      <c r="V316" s="19" t="s">
        <v>838</v>
      </c>
    </row>
    <row r="317" spans="1:22">
      <c r="A317" s="17">
        <v>41737.693379629629</v>
      </c>
      <c r="B317" s="18">
        <v>41737.693379629629</v>
      </c>
      <c r="C317" s="17">
        <v>41737.765439814815</v>
      </c>
      <c r="D317" s="18">
        <v>41737.765439814815</v>
      </c>
      <c r="E317" s="19">
        <v>67</v>
      </c>
      <c r="F317" s="57" t="s">
        <v>789</v>
      </c>
      <c r="G317" s="19" t="str">
        <f t="shared" si="26"/>
        <v>76155</v>
      </c>
      <c r="H317" s="19" t="s">
        <v>251</v>
      </c>
      <c r="I317" s="19" t="s">
        <v>252</v>
      </c>
      <c r="J317" s="19" t="s">
        <v>190</v>
      </c>
      <c r="K317" s="19" t="s">
        <v>191</v>
      </c>
      <c r="L317" s="19">
        <v>5500</v>
      </c>
      <c r="M317" s="19" t="str">
        <f t="shared" si="27"/>
        <v>Radio 76155_UnitID_5500</v>
      </c>
      <c r="N317" s="55" t="s">
        <v>398</v>
      </c>
      <c r="O317" s="55"/>
      <c r="P317" s="19" t="s">
        <v>754</v>
      </c>
      <c r="Q317" s="101">
        <f t="shared" si="28"/>
        <v>7.2060185186273884E-2</v>
      </c>
      <c r="R317" s="19" t="b">
        <v>1</v>
      </c>
      <c r="S317" s="19" t="b">
        <v>1</v>
      </c>
    </row>
    <row r="318" spans="1:22">
      <c r="A318" s="17">
        <v>41737.69425925926</v>
      </c>
      <c r="B318" s="18">
        <v>41737.69425925926</v>
      </c>
      <c r="C318" s="17">
        <v>41737.770775462966</v>
      </c>
      <c r="D318" s="18">
        <v>41737.770775462966</v>
      </c>
      <c r="E318" s="19">
        <v>67</v>
      </c>
      <c r="F318" s="57" t="s">
        <v>790</v>
      </c>
      <c r="G318" s="19" t="str">
        <f t="shared" si="26"/>
        <v>78710</v>
      </c>
      <c r="H318" s="19" t="s">
        <v>251</v>
      </c>
      <c r="I318" s="19" t="s">
        <v>252</v>
      </c>
      <c r="J318" s="19" t="s">
        <v>190</v>
      </c>
      <c r="K318" s="19" t="s">
        <v>191</v>
      </c>
      <c r="L318" s="19">
        <v>5540</v>
      </c>
      <c r="M318" s="19" t="str">
        <f t="shared" si="27"/>
        <v>Radio 78710_UnitID_5540</v>
      </c>
      <c r="N318" s="55" t="s">
        <v>398</v>
      </c>
      <c r="O318" s="55"/>
      <c r="P318" s="19" t="s">
        <v>754</v>
      </c>
      <c r="Q318" s="101">
        <f t="shared" si="28"/>
        <v>7.6516203705978114E-2</v>
      </c>
      <c r="R318" s="19" t="b">
        <v>1</v>
      </c>
      <c r="S318" s="19" t="b">
        <v>1</v>
      </c>
    </row>
    <row r="319" spans="1:22">
      <c r="A319" s="17">
        <v>41737.694756944446</v>
      </c>
      <c r="B319" s="18">
        <v>41737.694756944446</v>
      </c>
      <c r="C319" s="17">
        <v>41737.740046296298</v>
      </c>
      <c r="D319" s="18">
        <v>41737.740046296298</v>
      </c>
      <c r="E319" s="19">
        <v>67</v>
      </c>
      <c r="F319" s="57" t="s">
        <v>791</v>
      </c>
      <c r="G319" s="19" t="str">
        <f t="shared" si="26"/>
        <v>78706</v>
      </c>
      <c r="H319" s="19" t="s">
        <v>251</v>
      </c>
      <c r="I319" s="19" t="s">
        <v>252</v>
      </c>
      <c r="J319" s="19" t="s">
        <v>190</v>
      </c>
      <c r="K319" s="19" t="s">
        <v>191</v>
      </c>
      <c r="L319" s="19">
        <v>5550</v>
      </c>
      <c r="M319" s="19" t="str">
        <f t="shared" si="27"/>
        <v>Radio 78706_UnitID_5550</v>
      </c>
      <c r="N319" s="55" t="s">
        <v>398</v>
      </c>
      <c r="O319" s="55"/>
      <c r="P319" s="19" t="s">
        <v>754</v>
      </c>
      <c r="Q319" s="101">
        <f t="shared" si="28"/>
        <v>4.5289351852261461E-2</v>
      </c>
      <c r="R319" s="19" t="b">
        <v>1</v>
      </c>
      <c r="S319" s="19" t="b">
        <v>1</v>
      </c>
    </row>
    <row r="320" spans="1:22">
      <c r="A320" s="17">
        <v>41737.695335648146</v>
      </c>
      <c r="B320" s="18">
        <v>41737.695335648146</v>
      </c>
      <c r="C320" s="17">
        <v>41737.770370370374</v>
      </c>
      <c r="D320" s="18">
        <v>41737.770370370374</v>
      </c>
      <c r="E320" s="19">
        <v>67</v>
      </c>
      <c r="F320" s="57" t="s">
        <v>792</v>
      </c>
      <c r="G320" s="19" t="str">
        <f t="shared" si="26"/>
        <v>76171</v>
      </c>
      <c r="H320" s="19" t="s">
        <v>251</v>
      </c>
      <c r="I320" s="19" t="s">
        <v>252</v>
      </c>
      <c r="J320" s="19" t="s">
        <v>190</v>
      </c>
      <c r="K320" s="19" t="s">
        <v>191</v>
      </c>
      <c r="L320" s="19">
        <v>5570</v>
      </c>
      <c r="M320" s="19" t="str">
        <f t="shared" si="27"/>
        <v>Radio 76171_UnitID_5570</v>
      </c>
      <c r="N320" s="55" t="s">
        <v>398</v>
      </c>
      <c r="O320" s="55"/>
      <c r="P320" s="19" t="s">
        <v>754</v>
      </c>
      <c r="Q320" s="101">
        <f t="shared" si="28"/>
        <v>7.5034722227428574E-2</v>
      </c>
      <c r="R320" s="19" t="b">
        <v>1</v>
      </c>
      <c r="S320" s="19" t="b">
        <v>1</v>
      </c>
    </row>
    <row r="321" spans="1:22">
      <c r="A321" s="17">
        <v>41737.695752314816</v>
      </c>
      <c r="B321" s="18">
        <v>41737.695752314816</v>
      </c>
      <c r="C321" s="17">
        <v>41737.731168981481</v>
      </c>
      <c r="D321" s="18">
        <v>41737.731168981481</v>
      </c>
      <c r="E321" s="19">
        <v>67</v>
      </c>
      <c r="F321" s="57" t="s">
        <v>793</v>
      </c>
      <c r="G321" s="19" t="str">
        <f t="shared" si="26"/>
        <v>74467</v>
      </c>
      <c r="H321" s="19" t="s">
        <v>251</v>
      </c>
      <c r="I321" s="19" t="s">
        <v>252</v>
      </c>
      <c r="J321" s="19" t="s">
        <v>190</v>
      </c>
      <c r="K321" s="19" t="s">
        <v>191</v>
      </c>
      <c r="L321" s="19">
        <v>5590</v>
      </c>
      <c r="M321" s="19" t="str">
        <f t="shared" si="27"/>
        <v>Radio 74467_UnitID_5590</v>
      </c>
      <c r="N321" s="55" t="s">
        <v>398</v>
      </c>
      <c r="O321" s="55"/>
      <c r="P321" s="19" t="s">
        <v>772</v>
      </c>
      <c r="Q321" s="101">
        <f t="shared" si="28"/>
        <v>3.5416666665696539E-2</v>
      </c>
      <c r="R321" s="19" t="b">
        <v>1</v>
      </c>
      <c r="S321" s="19" t="b">
        <v>1</v>
      </c>
      <c r="V321" s="107" t="s">
        <v>839</v>
      </c>
    </row>
    <row r="322" spans="1:22">
      <c r="A322" s="17">
        <v>41737.696574074071</v>
      </c>
      <c r="B322" s="18">
        <v>41737.696574074071</v>
      </c>
      <c r="C322" s="17">
        <v>41737.735810185186</v>
      </c>
      <c r="D322" s="18">
        <v>41737.735810185186</v>
      </c>
      <c r="E322" s="19">
        <v>67</v>
      </c>
      <c r="F322" s="57" t="s">
        <v>794</v>
      </c>
      <c r="G322" s="19" t="str">
        <f t="shared" si="26"/>
        <v>78663</v>
      </c>
      <c r="H322" s="19" t="s">
        <v>251</v>
      </c>
      <c r="I322" s="19" t="s">
        <v>252</v>
      </c>
      <c r="J322" s="19" t="s">
        <v>190</v>
      </c>
      <c r="K322" s="19" t="s">
        <v>191</v>
      </c>
      <c r="L322" s="19">
        <v>5530</v>
      </c>
      <c r="M322" s="19" t="str">
        <f t="shared" si="27"/>
        <v>Radio 78663_UnitID_5530</v>
      </c>
      <c r="N322" s="55" t="s">
        <v>398</v>
      </c>
      <c r="P322" s="19" t="s">
        <v>754</v>
      </c>
      <c r="Q322" s="60">
        <f t="shared" si="28"/>
        <v>3.9236111115314998E-2</v>
      </c>
      <c r="R322" s="19" t="b">
        <v>1</v>
      </c>
      <c r="S322" s="19" t="b">
        <v>1</v>
      </c>
    </row>
    <row r="323" spans="1:22">
      <c r="A323" s="17">
        <v>41737.696967592594</v>
      </c>
      <c r="B323" s="18">
        <v>41737.696967592594</v>
      </c>
      <c r="C323" s="17">
        <v>41737.754652777781</v>
      </c>
      <c r="D323" s="18">
        <v>41737.754652777781</v>
      </c>
      <c r="E323" s="19">
        <v>67</v>
      </c>
      <c r="F323" s="57" t="s">
        <v>795</v>
      </c>
      <c r="G323" s="19" t="str">
        <f t="shared" si="26"/>
        <v>77828</v>
      </c>
      <c r="H323" s="19" t="s">
        <v>251</v>
      </c>
      <c r="I323" s="19" t="s">
        <v>252</v>
      </c>
      <c r="J323" s="19" t="s">
        <v>190</v>
      </c>
      <c r="K323" s="19" t="s">
        <v>191</v>
      </c>
      <c r="L323" s="19">
        <v>5580</v>
      </c>
      <c r="M323" s="19" t="str">
        <f t="shared" si="27"/>
        <v>Radio 77828_UnitID_5580</v>
      </c>
      <c r="N323" s="55" t="s">
        <v>398</v>
      </c>
      <c r="P323" s="19" t="s">
        <v>754</v>
      </c>
      <c r="Q323" s="60">
        <f t="shared" si="28"/>
        <v>5.7685185187438037E-2</v>
      </c>
      <c r="R323" s="19" t="b">
        <v>1</v>
      </c>
      <c r="S323" s="19" t="b">
        <v>1</v>
      </c>
    </row>
    <row r="324" spans="1:22">
      <c r="A324" s="17">
        <v>41737.697384259256</v>
      </c>
      <c r="B324" s="18">
        <v>41737.697384259256</v>
      </c>
      <c r="C324" s="17">
        <v>41737.734131944446</v>
      </c>
      <c r="D324" s="18">
        <v>41737.734131944446</v>
      </c>
      <c r="E324" s="19">
        <v>67</v>
      </c>
      <c r="F324" s="57" t="s">
        <v>796</v>
      </c>
      <c r="G324" s="19" t="str">
        <f t="shared" si="26"/>
        <v>76001</v>
      </c>
      <c r="H324" s="19" t="s">
        <v>251</v>
      </c>
      <c r="I324" s="19" t="s">
        <v>252</v>
      </c>
      <c r="J324" s="19" t="s">
        <v>190</v>
      </c>
      <c r="K324" s="19" t="s">
        <v>191</v>
      </c>
      <c r="L324" s="19">
        <v>5560</v>
      </c>
      <c r="M324" s="19" t="str">
        <f t="shared" si="27"/>
        <v>Radio 76001_UnitID_5560</v>
      </c>
      <c r="N324" s="55" t="s">
        <v>398</v>
      </c>
      <c r="P324" s="19" t="s">
        <v>754</v>
      </c>
      <c r="Q324" s="60">
        <f t="shared" si="28"/>
        <v>3.6747685189766344E-2</v>
      </c>
      <c r="R324" s="19" t="b">
        <v>1</v>
      </c>
      <c r="S324" s="19" t="b">
        <v>1</v>
      </c>
    </row>
    <row r="325" spans="1:22">
      <c r="A325" s="17">
        <v>41738.457870370374</v>
      </c>
      <c r="B325" s="18">
        <v>41738.457870370374</v>
      </c>
      <c r="C325" s="17">
        <v>41738.566562499997</v>
      </c>
      <c r="D325" s="18">
        <v>41738.566562499997</v>
      </c>
      <c r="E325" s="19">
        <v>68</v>
      </c>
      <c r="F325" s="57" t="s">
        <v>797</v>
      </c>
      <c r="G325" s="19" t="str">
        <f t="shared" ref="G325:G340" si="29">RIGHT(F325,5)</f>
        <v>78701</v>
      </c>
      <c r="H325" s="19" t="s">
        <v>251</v>
      </c>
      <c r="I325" s="19" t="s">
        <v>252</v>
      </c>
      <c r="J325" s="19" t="s">
        <v>190</v>
      </c>
      <c r="K325" s="19" t="s">
        <v>191</v>
      </c>
      <c r="L325" s="19">
        <v>5990</v>
      </c>
      <c r="M325" s="19" t="str">
        <f t="shared" ref="M325:M340" si="30">CONCATENATE("Radio ",G325,"_UnitID_",L325)</f>
        <v>Radio 78701_UnitID_5990</v>
      </c>
      <c r="N325" s="55" t="s">
        <v>536</v>
      </c>
      <c r="P325" s="19" t="s">
        <v>754</v>
      </c>
      <c r="Q325" s="60">
        <f t="shared" ref="Q325:Q340" si="31">IF(D325-B325 &gt; 2,((D325-B325)-1.7),IF(D325-B325 &gt; 1,(D325-B325)-0.7,IF(D325-B325 &gt; 0.5,(D325-B325)-0.7,(D325-B325))))</f>
        <v>0.10869212962279562</v>
      </c>
      <c r="R325" s="19" t="b">
        <v>1</v>
      </c>
      <c r="S325" s="19" t="b">
        <v>1</v>
      </c>
    </row>
    <row r="326" spans="1:22">
      <c r="A326" s="17">
        <v>41738.458298611113</v>
      </c>
      <c r="B326" s="18">
        <v>41738.458298611113</v>
      </c>
      <c r="C326" s="17">
        <v>41738.589826388888</v>
      </c>
      <c r="D326" s="18">
        <v>41738.589826388888</v>
      </c>
      <c r="E326" s="19">
        <v>68</v>
      </c>
      <c r="F326" s="57" t="s">
        <v>798</v>
      </c>
      <c r="G326" s="19" t="str">
        <f t="shared" si="29"/>
        <v>74868</v>
      </c>
      <c r="H326" s="19" t="s">
        <v>251</v>
      </c>
      <c r="I326" s="19" t="s">
        <v>252</v>
      </c>
      <c r="J326" s="19" t="s">
        <v>190</v>
      </c>
      <c r="K326" s="19" t="s">
        <v>191</v>
      </c>
      <c r="L326" s="19">
        <v>5960</v>
      </c>
      <c r="M326" s="19" t="str">
        <f t="shared" si="30"/>
        <v>Radio 74868_UnitID_5960</v>
      </c>
      <c r="N326" s="55" t="s">
        <v>536</v>
      </c>
      <c r="P326" s="19" t="s">
        <v>754</v>
      </c>
      <c r="Q326" s="60">
        <f t="shared" si="31"/>
        <v>0.13152777777577285</v>
      </c>
      <c r="R326" s="19" t="b">
        <v>1</v>
      </c>
      <c r="S326" s="19" t="b">
        <v>1</v>
      </c>
    </row>
    <row r="327" spans="1:22">
      <c r="A327" s="17">
        <v>41738.459756944445</v>
      </c>
      <c r="B327" s="18">
        <v>41738.459756944445</v>
      </c>
      <c r="C327" s="17">
        <v>41738.589733796296</v>
      </c>
      <c r="D327" s="18">
        <v>41738.589733796296</v>
      </c>
      <c r="E327" s="19">
        <v>68</v>
      </c>
      <c r="F327" s="57" t="s">
        <v>799</v>
      </c>
      <c r="G327" s="19" t="str">
        <f t="shared" si="29"/>
        <v>78662</v>
      </c>
      <c r="H327" s="19" t="s">
        <v>251</v>
      </c>
      <c r="I327" s="19" t="s">
        <v>252</v>
      </c>
      <c r="J327" s="19" t="s">
        <v>190</v>
      </c>
      <c r="K327" s="19" t="s">
        <v>191</v>
      </c>
      <c r="L327" s="19">
        <v>5900</v>
      </c>
      <c r="M327" s="19" t="str">
        <f t="shared" si="30"/>
        <v>Radio 78662_UnitID_5900</v>
      </c>
      <c r="N327" s="55" t="s">
        <v>536</v>
      </c>
      <c r="P327" s="19" t="s">
        <v>754</v>
      </c>
      <c r="Q327" s="60">
        <f t="shared" si="31"/>
        <v>0.12997685185109731</v>
      </c>
      <c r="R327" s="19" t="b">
        <v>1</v>
      </c>
      <c r="S327" s="19" t="b">
        <v>1</v>
      </c>
    </row>
    <row r="328" spans="1:22">
      <c r="A328" s="17">
        <v>41738.46130787037</v>
      </c>
      <c r="B328" s="18">
        <v>41738.46130787037</v>
      </c>
      <c r="C328" s="17">
        <v>41738.569768518515</v>
      </c>
      <c r="D328" s="18">
        <v>41738.569768518515</v>
      </c>
      <c r="E328" s="19">
        <v>68</v>
      </c>
      <c r="F328" s="57" t="s">
        <v>800</v>
      </c>
      <c r="G328" s="19" t="str">
        <f t="shared" si="29"/>
        <v>78726</v>
      </c>
      <c r="H328" s="19" t="s">
        <v>251</v>
      </c>
      <c r="I328" s="19" t="s">
        <v>252</v>
      </c>
      <c r="J328" s="19" t="s">
        <v>190</v>
      </c>
      <c r="K328" s="19" t="s">
        <v>191</v>
      </c>
      <c r="L328" s="19">
        <v>5980</v>
      </c>
      <c r="M328" s="19" t="str">
        <f t="shared" si="30"/>
        <v>Radio 78726_UnitID_5980</v>
      </c>
      <c r="N328" s="55" t="s">
        <v>536</v>
      </c>
      <c r="P328" s="19" t="s">
        <v>754</v>
      </c>
      <c r="Q328" s="60">
        <f t="shared" si="31"/>
        <v>0.10846064814541023</v>
      </c>
      <c r="R328" s="19" t="b">
        <v>1</v>
      </c>
      <c r="S328" s="19" t="b">
        <v>1</v>
      </c>
    </row>
    <row r="329" spans="1:22">
      <c r="A329" s="17">
        <v>41738.462627314817</v>
      </c>
      <c r="B329" s="18">
        <v>41738.462627314817</v>
      </c>
      <c r="C329" s="17">
        <v>41738.568310185183</v>
      </c>
      <c r="D329" s="18">
        <v>41738.568310185183</v>
      </c>
      <c r="E329" s="19">
        <v>68</v>
      </c>
      <c r="F329" s="57" t="s">
        <v>801</v>
      </c>
      <c r="G329" s="19" t="str">
        <f t="shared" si="29"/>
        <v>78607</v>
      </c>
      <c r="H329" s="19" t="s">
        <v>251</v>
      </c>
      <c r="I329" s="19" t="s">
        <v>252</v>
      </c>
      <c r="J329" s="19" t="s">
        <v>190</v>
      </c>
      <c r="K329" s="19" t="s">
        <v>191</v>
      </c>
      <c r="L329" s="19">
        <v>5930</v>
      </c>
      <c r="M329" s="19" t="str">
        <f t="shared" si="30"/>
        <v>Radio 78607_UnitID_5930</v>
      </c>
      <c r="N329" s="55" t="s">
        <v>536</v>
      </c>
      <c r="P329" s="19" t="s">
        <v>754</v>
      </c>
      <c r="Q329" s="60">
        <f t="shared" si="31"/>
        <v>0.10568287036585389</v>
      </c>
      <c r="R329" s="19" t="b">
        <v>1</v>
      </c>
      <c r="S329" s="19" t="b">
        <v>1</v>
      </c>
    </row>
    <row r="330" spans="1:22">
      <c r="A330" s="17">
        <v>41738.463773148149</v>
      </c>
      <c r="B330" s="18">
        <v>41738.463773148149</v>
      </c>
      <c r="C330" s="17">
        <v>41738.598368055558</v>
      </c>
      <c r="D330" s="18">
        <v>41738.598368055558</v>
      </c>
      <c r="E330" s="19">
        <v>68</v>
      </c>
      <c r="F330" s="57" t="s">
        <v>802</v>
      </c>
      <c r="G330" s="19" t="str">
        <f t="shared" si="29"/>
        <v>78728</v>
      </c>
      <c r="H330" s="19" t="s">
        <v>251</v>
      </c>
      <c r="I330" s="19" t="s">
        <v>252</v>
      </c>
      <c r="J330" s="19" t="s">
        <v>190</v>
      </c>
      <c r="K330" s="19" t="s">
        <v>191</v>
      </c>
      <c r="L330" s="19">
        <v>5970</v>
      </c>
      <c r="M330" s="19" t="str">
        <f t="shared" si="30"/>
        <v>Radio 78728_UnitID_5970</v>
      </c>
      <c r="N330" s="55" t="s">
        <v>536</v>
      </c>
      <c r="P330" s="19" t="s">
        <v>754</v>
      </c>
      <c r="Q330" s="60">
        <f t="shared" si="31"/>
        <v>0.13459490740933688</v>
      </c>
      <c r="R330" s="19" t="b">
        <v>1</v>
      </c>
      <c r="S330" s="19" t="b">
        <v>1</v>
      </c>
    </row>
    <row r="331" spans="1:22">
      <c r="A331" s="17">
        <v>41738.464965277781</v>
      </c>
      <c r="B331" s="18">
        <v>41738.464965277781</v>
      </c>
      <c r="C331" s="17">
        <v>41738.608622685184</v>
      </c>
      <c r="D331" s="18">
        <v>41738.608622685184</v>
      </c>
      <c r="E331" s="19">
        <v>68</v>
      </c>
      <c r="F331" s="57" t="s">
        <v>803</v>
      </c>
      <c r="G331" s="19" t="str">
        <f t="shared" si="29"/>
        <v>78564</v>
      </c>
      <c r="H331" s="19" t="s">
        <v>251</v>
      </c>
      <c r="I331" s="19" t="s">
        <v>252</v>
      </c>
      <c r="J331" s="19" t="s">
        <v>190</v>
      </c>
      <c r="K331" s="19" t="s">
        <v>191</v>
      </c>
      <c r="L331" s="19">
        <v>5910</v>
      </c>
      <c r="M331" s="19" t="str">
        <f t="shared" si="30"/>
        <v>Radio 78564_UnitID_5910</v>
      </c>
      <c r="N331" s="55" t="s">
        <v>536</v>
      </c>
      <c r="P331" s="19" t="s">
        <v>804</v>
      </c>
      <c r="Q331" s="60">
        <f t="shared" si="31"/>
        <v>0.14365740740322508</v>
      </c>
      <c r="R331" s="19" t="b">
        <v>1</v>
      </c>
      <c r="S331" s="19" t="b">
        <v>1</v>
      </c>
      <c r="V331" s="19" t="s">
        <v>806</v>
      </c>
    </row>
    <row r="332" spans="1:22">
      <c r="A332" s="17">
        <v>41738.467615740738</v>
      </c>
      <c r="B332" s="18">
        <v>41738.467615740738</v>
      </c>
      <c r="C332" s="17">
        <v>41738.598287037035</v>
      </c>
      <c r="D332" s="18">
        <v>41738.598287037035</v>
      </c>
      <c r="E332" s="19">
        <v>68</v>
      </c>
      <c r="F332" s="57" t="s">
        <v>805</v>
      </c>
      <c r="G332" s="19" t="str">
        <f t="shared" si="29"/>
        <v>77826</v>
      </c>
      <c r="H332" s="19" t="s">
        <v>251</v>
      </c>
      <c r="I332" s="19" t="s">
        <v>252</v>
      </c>
      <c r="J332" s="19" t="s">
        <v>190</v>
      </c>
      <c r="K332" s="19" t="s">
        <v>191</v>
      </c>
      <c r="L332" s="19">
        <v>5950</v>
      </c>
      <c r="M332" s="19" t="str">
        <f t="shared" si="30"/>
        <v>Radio 77826_UnitID_5950</v>
      </c>
      <c r="N332" s="55" t="s">
        <v>536</v>
      </c>
      <c r="P332" s="19" t="s">
        <v>772</v>
      </c>
      <c r="Q332" s="60">
        <f t="shared" si="31"/>
        <v>0.13067129629780538</v>
      </c>
      <c r="R332" s="19" t="b">
        <v>1</v>
      </c>
      <c r="S332" s="19" t="b">
        <v>1</v>
      </c>
    </row>
    <row r="333" spans="1:22">
      <c r="A333" s="17">
        <v>41738.611759259256</v>
      </c>
      <c r="B333" s="18">
        <v>41738.611759259256</v>
      </c>
      <c r="C333" s="17">
        <v>41738.655185185184</v>
      </c>
      <c r="D333" s="18">
        <v>41738.655185185184</v>
      </c>
      <c r="E333" s="19">
        <v>69</v>
      </c>
      <c r="F333" s="57" t="s">
        <v>807</v>
      </c>
      <c r="G333" s="19" t="str">
        <f t="shared" si="29"/>
        <v>77829</v>
      </c>
      <c r="H333" s="19" t="s">
        <v>251</v>
      </c>
      <c r="I333" s="19" t="s">
        <v>252</v>
      </c>
      <c r="J333" s="19" t="s">
        <v>190</v>
      </c>
      <c r="K333" s="19" t="s">
        <v>191</v>
      </c>
      <c r="L333" s="19">
        <v>5760</v>
      </c>
      <c r="M333" s="19" t="str">
        <f t="shared" si="30"/>
        <v>Radio 77829_UnitID_5760</v>
      </c>
      <c r="N333" s="55" t="s">
        <v>808</v>
      </c>
      <c r="P333" s="19" t="s">
        <v>754</v>
      </c>
      <c r="Q333" s="60">
        <f t="shared" si="31"/>
        <v>4.3425925927294884E-2</v>
      </c>
      <c r="R333" s="19" t="b">
        <v>1</v>
      </c>
      <c r="S333" s="19" t="b">
        <v>1</v>
      </c>
    </row>
    <row r="334" spans="1:22">
      <c r="A334" s="17">
        <v>41738.612175925926</v>
      </c>
      <c r="B334" s="18">
        <v>41738.612175925926</v>
      </c>
      <c r="C334" s="17">
        <v>41738.6953587963</v>
      </c>
      <c r="D334" s="18">
        <v>41738.6953587963</v>
      </c>
      <c r="E334" s="19">
        <v>69</v>
      </c>
      <c r="F334" s="57" t="s">
        <v>809</v>
      </c>
      <c r="G334" s="19" t="str">
        <f t="shared" si="29"/>
        <v>78597</v>
      </c>
      <c r="H334" s="19" t="s">
        <v>251</v>
      </c>
      <c r="I334" s="19" t="s">
        <v>252</v>
      </c>
      <c r="J334" s="19" t="s">
        <v>190</v>
      </c>
      <c r="K334" s="19" t="s">
        <v>191</v>
      </c>
      <c r="L334" s="19">
        <v>5750</v>
      </c>
      <c r="M334" s="19" t="str">
        <f t="shared" si="30"/>
        <v>Radio 78597_UnitID_5750</v>
      </c>
      <c r="N334" s="55" t="s">
        <v>808</v>
      </c>
      <c r="P334" s="19" t="s">
        <v>754</v>
      </c>
      <c r="Q334" s="60">
        <f t="shared" si="31"/>
        <v>8.318287037400296E-2</v>
      </c>
      <c r="R334" s="19" t="b">
        <v>1</v>
      </c>
      <c r="S334" s="19" t="b">
        <v>1</v>
      </c>
      <c r="V334" s="19" t="s">
        <v>840</v>
      </c>
    </row>
    <row r="335" spans="1:22">
      <c r="A335" s="17">
        <v>41738.616643518515</v>
      </c>
      <c r="B335" s="18">
        <v>41738.616643518515</v>
      </c>
      <c r="C335" s="17">
        <v>41738.655300925922</v>
      </c>
      <c r="D335" s="18">
        <v>41738.655300925922</v>
      </c>
      <c r="E335" s="19">
        <v>69</v>
      </c>
      <c r="F335" s="57" t="s">
        <v>810</v>
      </c>
      <c r="G335" s="19" t="str">
        <f t="shared" si="29"/>
        <v>77818</v>
      </c>
      <c r="H335" s="19" t="s">
        <v>251</v>
      </c>
      <c r="I335" s="19" t="s">
        <v>252</v>
      </c>
      <c r="J335" s="19" t="s">
        <v>190</v>
      </c>
      <c r="K335" s="19" t="s">
        <v>191</v>
      </c>
      <c r="L335" s="19">
        <v>5770</v>
      </c>
      <c r="M335" s="19" t="str">
        <f t="shared" si="30"/>
        <v>Radio 77818_UnitID_5770</v>
      </c>
      <c r="N335" s="55" t="s">
        <v>808</v>
      </c>
      <c r="P335" s="19" t="s">
        <v>754</v>
      </c>
      <c r="Q335" s="60">
        <f t="shared" si="31"/>
        <v>3.8657407407299615E-2</v>
      </c>
      <c r="R335" s="19" t="b">
        <v>1</v>
      </c>
      <c r="S335" s="19" t="b">
        <v>1</v>
      </c>
    </row>
    <row r="336" spans="1:22">
      <c r="A336" s="17">
        <v>41738.617615740739</v>
      </c>
      <c r="B336" s="18">
        <v>41738.617615740739</v>
      </c>
      <c r="C336" s="17">
        <v>41738.695451388892</v>
      </c>
      <c r="D336" s="18">
        <v>41738.695451388892</v>
      </c>
      <c r="E336" s="19">
        <v>69</v>
      </c>
      <c r="F336" s="57" t="s">
        <v>811</v>
      </c>
      <c r="G336" s="19" t="str">
        <f t="shared" si="29"/>
        <v>78721</v>
      </c>
      <c r="H336" s="19" t="s">
        <v>251</v>
      </c>
      <c r="I336" s="19" t="s">
        <v>252</v>
      </c>
      <c r="J336" s="19" t="s">
        <v>190</v>
      </c>
      <c r="K336" s="19" t="s">
        <v>191</v>
      </c>
      <c r="L336" s="19">
        <v>5730</v>
      </c>
      <c r="M336" s="19" t="str">
        <f t="shared" si="30"/>
        <v>Radio 78721_UnitID_5730</v>
      </c>
      <c r="N336" s="55" t="s">
        <v>808</v>
      </c>
      <c r="P336" s="19" t="s">
        <v>754</v>
      </c>
      <c r="Q336" s="60">
        <f t="shared" si="31"/>
        <v>7.7835648153268266E-2</v>
      </c>
      <c r="R336" s="19" t="b">
        <v>1</v>
      </c>
      <c r="S336" s="19" t="b">
        <v>1</v>
      </c>
    </row>
    <row r="337" spans="1:22">
      <c r="A337" s="17">
        <v>41738.618541666663</v>
      </c>
      <c r="B337" s="18">
        <v>41738.618541666663</v>
      </c>
      <c r="C337" s="17">
        <v>41738.67324074074</v>
      </c>
      <c r="D337" s="18">
        <v>41738.67324074074</v>
      </c>
      <c r="E337" s="19">
        <v>69</v>
      </c>
      <c r="F337" s="57" t="s">
        <v>812</v>
      </c>
      <c r="G337" s="19" t="str">
        <f t="shared" si="29"/>
        <v>78562</v>
      </c>
      <c r="H337" s="19" t="s">
        <v>251</v>
      </c>
      <c r="I337" s="19" t="s">
        <v>252</v>
      </c>
      <c r="J337" s="19" t="s">
        <v>190</v>
      </c>
      <c r="K337" s="19" t="s">
        <v>191</v>
      </c>
      <c r="L337" s="19">
        <v>5780</v>
      </c>
      <c r="M337" s="19" t="str">
        <f t="shared" si="30"/>
        <v>Radio 78562_UnitID_5780</v>
      </c>
      <c r="N337" s="55" t="s">
        <v>808</v>
      </c>
      <c r="P337" s="19" t="s">
        <v>754</v>
      </c>
      <c r="Q337" s="60">
        <f t="shared" si="31"/>
        <v>5.4699074076779652E-2</v>
      </c>
      <c r="R337" s="19" t="b">
        <v>1</v>
      </c>
      <c r="S337" s="19" t="b">
        <v>1</v>
      </c>
    </row>
    <row r="338" spans="1:22">
      <c r="A338" s="17">
        <v>41738.619305555556</v>
      </c>
      <c r="B338" s="18">
        <v>41738.619305555556</v>
      </c>
      <c r="C338" s="17">
        <v>41738.65724537037</v>
      </c>
      <c r="D338" s="18">
        <v>41738.65724537037</v>
      </c>
      <c r="E338" s="19">
        <v>69</v>
      </c>
      <c r="F338" s="57" t="s">
        <v>813</v>
      </c>
      <c r="G338" s="19" t="str">
        <f t="shared" si="29"/>
        <v>78670</v>
      </c>
      <c r="H338" s="19" t="s">
        <v>251</v>
      </c>
      <c r="I338" s="19" t="s">
        <v>252</v>
      </c>
      <c r="J338" s="19" t="s">
        <v>190</v>
      </c>
      <c r="K338" s="19" t="s">
        <v>191</v>
      </c>
      <c r="L338" s="19">
        <v>5740</v>
      </c>
      <c r="M338" s="19" t="str">
        <f t="shared" si="30"/>
        <v>Radio 78670_UnitID_5740</v>
      </c>
      <c r="N338" s="55" t="s">
        <v>808</v>
      </c>
      <c r="P338" s="19" t="s">
        <v>754</v>
      </c>
      <c r="Q338" s="60">
        <f t="shared" si="31"/>
        <v>3.7939814814308193E-2</v>
      </c>
      <c r="R338" s="19" t="b">
        <v>1</v>
      </c>
      <c r="S338" s="19" t="b">
        <v>1</v>
      </c>
    </row>
    <row r="339" spans="1:22">
      <c r="A339" s="17">
        <v>41738.620243055557</v>
      </c>
      <c r="B339" s="18">
        <v>41738.620243055557</v>
      </c>
      <c r="C339" s="17">
        <v>41738.66238425926</v>
      </c>
      <c r="D339" s="18">
        <v>41738.66238425926</v>
      </c>
      <c r="E339" s="19">
        <v>69</v>
      </c>
      <c r="F339" s="57" t="s">
        <v>814</v>
      </c>
      <c r="G339" s="19" t="str">
        <f t="shared" si="29"/>
        <v>78647</v>
      </c>
      <c r="H339" s="19" t="s">
        <v>251</v>
      </c>
      <c r="I339" s="19" t="s">
        <v>252</v>
      </c>
      <c r="J339" s="19" t="s">
        <v>190</v>
      </c>
      <c r="K339" s="19" t="s">
        <v>191</v>
      </c>
      <c r="L339" s="19">
        <v>5700</v>
      </c>
      <c r="M339" s="19" t="str">
        <f t="shared" si="30"/>
        <v>Radio 78647_UnitID_5700</v>
      </c>
      <c r="N339" s="55" t="s">
        <v>808</v>
      </c>
      <c r="P339" s="19" t="s">
        <v>754</v>
      </c>
      <c r="Q339" s="60">
        <f t="shared" si="31"/>
        <v>4.2141203703067731E-2</v>
      </c>
      <c r="R339" s="19" t="b">
        <v>1</v>
      </c>
      <c r="S339" s="19" t="b">
        <v>1</v>
      </c>
    </row>
    <row r="340" spans="1:22">
      <c r="A340" s="17">
        <v>41738.62122685185</v>
      </c>
      <c r="B340" s="18">
        <v>41738.62122685185</v>
      </c>
      <c r="C340" s="17">
        <v>41738.698946759258</v>
      </c>
      <c r="D340" s="18">
        <v>41738.698946759258</v>
      </c>
      <c r="E340" s="19">
        <v>70</v>
      </c>
      <c r="F340" s="57" t="s">
        <v>815</v>
      </c>
      <c r="G340" s="19" t="str">
        <f t="shared" si="29"/>
        <v>10276</v>
      </c>
      <c r="H340" s="106" t="s">
        <v>713</v>
      </c>
      <c r="I340" s="19" t="s">
        <v>714</v>
      </c>
      <c r="J340" s="19" t="s">
        <v>190</v>
      </c>
      <c r="K340" s="19" t="s">
        <v>191</v>
      </c>
      <c r="L340" s="19">
        <v>1520</v>
      </c>
      <c r="M340" s="19" t="str">
        <f t="shared" si="30"/>
        <v>Radio 10276_UnitID_1520</v>
      </c>
      <c r="N340" s="55" t="s">
        <v>816</v>
      </c>
      <c r="P340" s="19" t="s">
        <v>772</v>
      </c>
      <c r="Q340" s="60">
        <f t="shared" si="31"/>
        <v>7.7719907407299615E-2</v>
      </c>
      <c r="R340" s="19" t="b">
        <v>1</v>
      </c>
      <c r="S340" s="19" t="b">
        <v>1</v>
      </c>
      <c r="V340" s="19" t="s">
        <v>817</v>
      </c>
    </row>
    <row r="341" spans="1:22">
      <c r="A341" s="17">
        <v>41739.343969907408</v>
      </c>
      <c r="B341" s="18">
        <v>41739.343969907408</v>
      </c>
      <c r="C341" s="17">
        <v>41739.399201388886</v>
      </c>
      <c r="D341" s="18">
        <v>41739.399201388886</v>
      </c>
      <c r="E341" s="19">
        <v>71</v>
      </c>
      <c r="F341" s="57" t="s">
        <v>818</v>
      </c>
      <c r="G341" s="19" t="str">
        <f t="shared" ref="G341:G374" si="32">RIGHT(F341,5)</f>
        <v>76336</v>
      </c>
      <c r="H341" s="19" t="s">
        <v>822</v>
      </c>
      <c r="I341" s="19" t="s">
        <v>252</v>
      </c>
      <c r="J341" s="19" t="s">
        <v>190</v>
      </c>
      <c r="K341" s="19" t="s">
        <v>191</v>
      </c>
      <c r="L341" s="19">
        <v>5370</v>
      </c>
      <c r="M341" s="19" t="str">
        <f t="shared" ref="M341:M374" si="33">CONCATENATE("Radio ",G341,"_UnitID_",L341)</f>
        <v>Radio 76336_UnitID_5370</v>
      </c>
      <c r="N341" s="55" t="s">
        <v>819</v>
      </c>
      <c r="P341" s="19" t="s">
        <v>754</v>
      </c>
      <c r="Q341" s="60">
        <f t="shared" ref="Q341:Q357" si="34">IF(D341-B341 &gt; 2,((D341-B341)-1.7),IF(D341-B341 &gt; 1,(D341-B341)-0.7,IF(D341-B341 &gt; 0.5,(D341-B341)-0.7,(D341-B341))))</f>
        <v>5.5231481477676425E-2</v>
      </c>
      <c r="R341" s="19" t="b">
        <v>1</v>
      </c>
      <c r="S341" s="19" t="b">
        <v>1</v>
      </c>
    </row>
    <row r="342" spans="1:22">
      <c r="A342" s="17">
        <v>41739.344560185185</v>
      </c>
      <c r="B342" s="18">
        <v>41739.344560185185</v>
      </c>
      <c r="C342" s="17">
        <v>41739.408078703702</v>
      </c>
      <c r="D342" s="18">
        <v>41739.408078703702</v>
      </c>
      <c r="E342" s="19">
        <v>71</v>
      </c>
      <c r="F342" s="57" t="s">
        <v>820</v>
      </c>
      <c r="G342" s="19" t="str">
        <f t="shared" si="32"/>
        <v>78425</v>
      </c>
      <c r="H342" s="19" t="s">
        <v>822</v>
      </c>
      <c r="I342" s="19" t="s">
        <v>252</v>
      </c>
      <c r="J342" s="19" t="s">
        <v>190</v>
      </c>
      <c r="K342" s="19" t="s">
        <v>191</v>
      </c>
      <c r="L342" s="19">
        <v>5360</v>
      </c>
      <c r="M342" s="19" t="str">
        <f t="shared" si="33"/>
        <v>Radio 78425_UnitID_5360</v>
      </c>
      <c r="N342" s="55" t="s">
        <v>819</v>
      </c>
      <c r="P342" s="19" t="s">
        <v>754</v>
      </c>
      <c r="Q342" s="60">
        <f t="shared" si="34"/>
        <v>6.3518518516502809E-2</v>
      </c>
      <c r="R342" s="19" t="b">
        <v>1</v>
      </c>
      <c r="S342" s="19" t="b">
        <v>1</v>
      </c>
    </row>
    <row r="343" spans="1:22">
      <c r="A343" s="17">
        <v>41739.344953703701</v>
      </c>
      <c r="B343" s="18">
        <v>41739.344953703701</v>
      </c>
      <c r="C343" s="17">
        <v>41739.424583333333</v>
      </c>
      <c r="D343" s="18">
        <v>41739.424583333333</v>
      </c>
      <c r="E343" s="19">
        <v>71</v>
      </c>
      <c r="F343" s="57" t="s">
        <v>821</v>
      </c>
      <c r="G343" s="19" t="str">
        <f t="shared" si="32"/>
        <v>76329</v>
      </c>
      <c r="H343" s="19" t="s">
        <v>822</v>
      </c>
      <c r="I343" s="19" t="s">
        <v>252</v>
      </c>
      <c r="J343" s="19" t="s">
        <v>190</v>
      </c>
      <c r="K343" s="19" t="s">
        <v>191</v>
      </c>
      <c r="L343" s="19">
        <v>5300</v>
      </c>
      <c r="M343" s="19" t="str">
        <f t="shared" si="33"/>
        <v>Radio 76329_UnitID_5300</v>
      </c>
      <c r="N343" s="55" t="s">
        <v>819</v>
      </c>
      <c r="P343" s="19" t="s">
        <v>754</v>
      </c>
      <c r="Q343" s="60">
        <f t="shared" si="34"/>
        <v>7.9629629632108845E-2</v>
      </c>
      <c r="R343" s="19" t="b">
        <v>1</v>
      </c>
      <c r="S343" s="19" t="b">
        <v>1</v>
      </c>
    </row>
    <row r="344" spans="1:22">
      <c r="A344" s="17">
        <v>41739.34646990741</v>
      </c>
      <c r="B344" s="18">
        <v>41739.34646990741</v>
      </c>
      <c r="C344" s="17">
        <v>41739.470682870371</v>
      </c>
      <c r="D344" s="18">
        <v>41739.470682870371</v>
      </c>
      <c r="E344" s="19">
        <v>71</v>
      </c>
      <c r="F344" s="57" t="s">
        <v>823</v>
      </c>
      <c r="G344" s="19" t="str">
        <f t="shared" si="32"/>
        <v>78698</v>
      </c>
      <c r="H344" s="19" t="s">
        <v>822</v>
      </c>
      <c r="I344" s="19" t="s">
        <v>252</v>
      </c>
      <c r="J344" s="19" t="s">
        <v>190</v>
      </c>
      <c r="K344" s="19" t="s">
        <v>191</v>
      </c>
      <c r="L344" s="19">
        <v>5330</v>
      </c>
      <c r="M344" s="19" t="str">
        <f t="shared" si="33"/>
        <v>Radio 78698_UnitID_5330</v>
      </c>
      <c r="N344" s="55" t="s">
        <v>819</v>
      </c>
      <c r="P344" s="19" t="s">
        <v>754</v>
      </c>
      <c r="Q344" s="60">
        <f t="shared" si="34"/>
        <v>0.12421296296088258</v>
      </c>
      <c r="R344" s="19" t="b">
        <v>1</v>
      </c>
      <c r="S344" s="19" t="b">
        <v>1</v>
      </c>
    </row>
    <row r="345" spans="1:22">
      <c r="A345" s="17">
        <v>41739.347337962965</v>
      </c>
      <c r="B345" s="18">
        <v>41739.347337962965</v>
      </c>
      <c r="C345" s="17">
        <v>41739.401469907411</v>
      </c>
      <c r="D345" s="18">
        <v>41739.401469907411</v>
      </c>
      <c r="E345" s="19">
        <v>71</v>
      </c>
      <c r="F345" s="57" t="s">
        <v>824</v>
      </c>
      <c r="G345" s="19" t="str">
        <f t="shared" si="32"/>
        <v>78666</v>
      </c>
      <c r="H345" s="19" t="s">
        <v>822</v>
      </c>
      <c r="I345" s="19" t="s">
        <v>252</v>
      </c>
      <c r="J345" s="19" t="s">
        <v>190</v>
      </c>
      <c r="K345" s="19" t="s">
        <v>191</v>
      </c>
      <c r="L345" s="19">
        <v>5380</v>
      </c>
      <c r="M345" s="19" t="str">
        <f t="shared" si="33"/>
        <v>Radio 78666_UnitID_5380</v>
      </c>
      <c r="N345" s="55" t="s">
        <v>819</v>
      </c>
      <c r="P345" s="19" t="s">
        <v>754</v>
      </c>
      <c r="Q345" s="60">
        <f t="shared" si="34"/>
        <v>5.4131944445543922E-2</v>
      </c>
      <c r="R345" s="19" t="b">
        <v>1</v>
      </c>
      <c r="S345" s="19" t="b">
        <v>1</v>
      </c>
    </row>
    <row r="346" spans="1:22">
      <c r="A346" s="17">
        <v>41739.348587962966</v>
      </c>
      <c r="B346" s="18">
        <v>41739.348587962966</v>
      </c>
      <c r="C346" s="17">
        <v>41739.472719907404</v>
      </c>
      <c r="D346" s="18">
        <v>41739.472719907404</v>
      </c>
      <c r="E346" s="19">
        <v>71</v>
      </c>
      <c r="F346" s="57" t="s">
        <v>825</v>
      </c>
      <c r="G346" s="19" t="str">
        <f t="shared" si="32"/>
        <v>78725</v>
      </c>
      <c r="H346" s="19" t="s">
        <v>251</v>
      </c>
      <c r="I346" s="19" t="s">
        <v>252</v>
      </c>
      <c r="J346" s="19" t="s">
        <v>190</v>
      </c>
      <c r="K346" s="19" t="s">
        <v>191</v>
      </c>
      <c r="L346" s="19">
        <v>5340</v>
      </c>
      <c r="M346" s="19" t="str">
        <f t="shared" si="33"/>
        <v>Radio 78725_UnitID_5340</v>
      </c>
      <c r="N346" s="55" t="s">
        <v>819</v>
      </c>
      <c r="P346" s="19" t="s">
        <v>754</v>
      </c>
      <c r="Q346" s="60">
        <f t="shared" si="34"/>
        <v>0.12413194443797693</v>
      </c>
      <c r="R346" s="19" t="b">
        <v>1</v>
      </c>
      <c r="S346" s="19" t="b">
        <v>1</v>
      </c>
    </row>
    <row r="347" spans="1:22">
      <c r="A347" s="17">
        <v>41739.350532407407</v>
      </c>
      <c r="B347" s="18">
        <v>41739.350532407407</v>
      </c>
      <c r="C347" s="17">
        <v>41739.399768518517</v>
      </c>
      <c r="D347" s="18">
        <v>41739.399768518517</v>
      </c>
      <c r="E347" s="19">
        <v>72</v>
      </c>
      <c r="F347" s="57" t="s">
        <v>826</v>
      </c>
      <c r="G347" s="19" t="str">
        <f t="shared" si="32"/>
        <v>78603</v>
      </c>
      <c r="H347" s="19" t="s">
        <v>251</v>
      </c>
      <c r="I347" s="19" t="s">
        <v>252</v>
      </c>
      <c r="J347" s="19" t="s">
        <v>190</v>
      </c>
      <c r="K347" s="19" t="s">
        <v>191</v>
      </c>
      <c r="L347" s="19">
        <v>5920</v>
      </c>
      <c r="M347" s="19" t="str">
        <f t="shared" si="33"/>
        <v>Radio 78603_UnitID_5920</v>
      </c>
      <c r="N347" s="55" t="s">
        <v>536</v>
      </c>
      <c r="P347" s="19" t="s">
        <v>754</v>
      </c>
      <c r="Q347" s="60">
        <f t="shared" si="34"/>
        <v>4.9236111110076308E-2</v>
      </c>
      <c r="R347" s="19" t="b">
        <v>1</v>
      </c>
      <c r="S347" s="19" t="b">
        <v>1</v>
      </c>
    </row>
    <row r="348" spans="1:22">
      <c r="A348" s="17">
        <v>41739.354814814818</v>
      </c>
      <c r="B348" s="18">
        <v>41739.354814814818</v>
      </c>
      <c r="C348" s="17">
        <v>41739.411828703705</v>
      </c>
      <c r="D348" s="18">
        <v>41739.411828703705</v>
      </c>
      <c r="E348" s="19">
        <v>73</v>
      </c>
      <c r="F348" s="57" t="s">
        <v>827</v>
      </c>
      <c r="G348" s="19" t="str">
        <f t="shared" si="32"/>
        <v>78696</v>
      </c>
      <c r="H348" s="19" t="s">
        <v>251</v>
      </c>
      <c r="I348" s="19" t="s">
        <v>252</v>
      </c>
      <c r="J348" s="19" t="s">
        <v>190</v>
      </c>
      <c r="K348" s="19" t="s">
        <v>191</v>
      </c>
      <c r="L348" s="19">
        <v>6050</v>
      </c>
      <c r="M348" s="19" t="str">
        <f t="shared" si="33"/>
        <v>Radio 78696_UnitID_6050</v>
      </c>
      <c r="N348" s="55" t="s">
        <v>201</v>
      </c>
      <c r="P348" s="19" t="s">
        <v>754</v>
      </c>
      <c r="Q348" s="60">
        <f t="shared" si="34"/>
        <v>5.7013888887013309E-2</v>
      </c>
      <c r="R348" s="19" t="b">
        <v>1</v>
      </c>
      <c r="S348" s="19" t="b">
        <v>1</v>
      </c>
    </row>
    <row r="349" spans="1:22">
      <c r="A349" s="17">
        <v>41739.356030092589</v>
      </c>
      <c r="B349" s="18">
        <v>41739.356030092589</v>
      </c>
      <c r="C349" s="17">
        <v>41739.438680555555</v>
      </c>
      <c r="D349" s="18">
        <v>41739.438680555555</v>
      </c>
      <c r="E349" s="19">
        <v>73</v>
      </c>
      <c r="F349" s="57" t="s">
        <v>828</v>
      </c>
      <c r="G349" s="19" t="str">
        <f t="shared" si="32"/>
        <v>78626</v>
      </c>
      <c r="H349" s="19" t="s">
        <v>251</v>
      </c>
      <c r="I349" s="19" t="s">
        <v>252</v>
      </c>
      <c r="J349" s="19" t="s">
        <v>190</v>
      </c>
      <c r="K349" s="19" t="s">
        <v>191</v>
      </c>
      <c r="L349" s="19">
        <v>6030</v>
      </c>
      <c r="M349" s="19" t="str">
        <f t="shared" si="33"/>
        <v>Radio 78626_UnitID_6030</v>
      </c>
      <c r="N349" s="55" t="s">
        <v>201</v>
      </c>
      <c r="P349" s="19" t="s">
        <v>754</v>
      </c>
      <c r="Q349" s="60">
        <f t="shared" si="34"/>
        <v>8.2650462965830229E-2</v>
      </c>
      <c r="R349" s="19" t="b">
        <v>1</v>
      </c>
      <c r="S349" s="19" t="b">
        <v>1</v>
      </c>
    </row>
    <row r="350" spans="1:22">
      <c r="A350" s="17">
        <v>41739.356932870367</v>
      </c>
      <c r="B350" s="18">
        <v>41739.356932870367</v>
      </c>
      <c r="C350" s="17">
        <v>41739.470590277779</v>
      </c>
      <c r="D350" s="18">
        <v>41739.470590277779</v>
      </c>
      <c r="E350" s="19">
        <v>73</v>
      </c>
      <c r="F350" s="57" t="s">
        <v>829</v>
      </c>
      <c r="G350" s="19" t="str">
        <f t="shared" si="32"/>
        <v>74866</v>
      </c>
      <c r="H350" s="19" t="s">
        <v>251</v>
      </c>
      <c r="I350" s="19" t="s">
        <v>252</v>
      </c>
      <c r="J350" s="19" t="s">
        <v>190</v>
      </c>
      <c r="K350" s="19" t="s">
        <v>191</v>
      </c>
      <c r="L350" s="19">
        <v>6060</v>
      </c>
      <c r="M350" s="19" t="str">
        <f t="shared" si="33"/>
        <v>Radio 74866_UnitID_6060</v>
      </c>
      <c r="N350" s="55" t="s">
        <v>201</v>
      </c>
      <c r="P350" s="19" t="s">
        <v>754</v>
      </c>
      <c r="Q350" s="60">
        <f t="shared" si="34"/>
        <v>0.11365740741166519</v>
      </c>
      <c r="R350" s="19" t="b">
        <v>1</v>
      </c>
      <c r="S350" s="19" t="b">
        <v>1</v>
      </c>
    </row>
    <row r="351" spans="1:22">
      <c r="A351" s="17">
        <v>41739.357997685183</v>
      </c>
      <c r="B351" s="18">
        <v>41739.357997685183</v>
      </c>
      <c r="C351" s="17">
        <v>41739.422858796293</v>
      </c>
      <c r="D351" s="18">
        <v>41739.422858796293</v>
      </c>
      <c r="E351" s="19">
        <v>73</v>
      </c>
      <c r="F351" s="57" t="s">
        <v>830</v>
      </c>
      <c r="G351" s="19" t="str">
        <f t="shared" si="32"/>
        <v>78646</v>
      </c>
      <c r="H351" s="19" t="s">
        <v>251</v>
      </c>
      <c r="I351" s="19" t="s">
        <v>252</v>
      </c>
      <c r="J351" s="19" t="s">
        <v>190</v>
      </c>
      <c r="K351" s="19" t="s">
        <v>191</v>
      </c>
      <c r="L351" s="19">
        <v>6000</v>
      </c>
      <c r="M351" s="19" t="str">
        <f t="shared" si="33"/>
        <v>Radio 78646_UnitID_6000</v>
      </c>
      <c r="N351" s="55" t="s">
        <v>201</v>
      </c>
      <c r="P351" s="19" t="s">
        <v>754</v>
      </c>
      <c r="Q351" s="60">
        <f t="shared" si="34"/>
        <v>6.4861111110076308E-2</v>
      </c>
      <c r="R351" s="19" t="b">
        <v>1</v>
      </c>
      <c r="S351" s="19" t="b">
        <v>1</v>
      </c>
    </row>
    <row r="352" spans="1:22">
      <c r="A352" s="17">
        <v>41739.358865740738</v>
      </c>
      <c r="B352" s="18">
        <v>41739.358865740738</v>
      </c>
      <c r="C352" s="17">
        <v>41739.474745370368</v>
      </c>
      <c r="D352" s="18">
        <v>41739.474745370368</v>
      </c>
      <c r="E352" s="19">
        <v>73</v>
      </c>
      <c r="F352" s="57" t="s">
        <v>831</v>
      </c>
      <c r="G352" s="19" t="str">
        <f t="shared" si="32"/>
        <v>78690</v>
      </c>
      <c r="H352" s="19" t="s">
        <v>251</v>
      </c>
      <c r="I352" s="19" t="s">
        <v>252</v>
      </c>
      <c r="J352" s="19" t="s">
        <v>190</v>
      </c>
      <c r="K352" s="19" t="s">
        <v>191</v>
      </c>
      <c r="L352" s="19">
        <v>6040</v>
      </c>
      <c r="M352" s="19" t="str">
        <f t="shared" si="33"/>
        <v>Radio 78690_UnitID_6040</v>
      </c>
      <c r="N352" s="55" t="s">
        <v>201</v>
      </c>
      <c r="P352" s="19" t="s">
        <v>772</v>
      </c>
      <c r="Q352" s="60">
        <f t="shared" si="34"/>
        <v>0.1158796296294895</v>
      </c>
      <c r="R352" s="19" t="b">
        <v>1</v>
      </c>
      <c r="S352" s="19" t="b">
        <v>1</v>
      </c>
      <c r="V352" s="19" t="s">
        <v>841</v>
      </c>
    </row>
    <row r="353" spans="1:22">
      <c r="A353" s="17">
        <v>41739.48065972222</v>
      </c>
      <c r="B353" s="18">
        <v>41739.48065972222</v>
      </c>
      <c r="C353" s="17">
        <v>41739.581041666665</v>
      </c>
      <c r="D353" s="18">
        <v>41739.581041666665</v>
      </c>
      <c r="E353" s="19">
        <v>74</v>
      </c>
      <c r="F353" s="57" t="s">
        <v>842</v>
      </c>
      <c r="G353" s="19" t="str">
        <f t="shared" si="32"/>
        <v>76993</v>
      </c>
      <c r="H353" s="19" t="s">
        <v>251</v>
      </c>
      <c r="I353" s="19" t="s">
        <v>252</v>
      </c>
      <c r="J353" s="19" t="s">
        <v>190</v>
      </c>
      <c r="K353" s="19" t="s">
        <v>191</v>
      </c>
      <c r="L353" s="19">
        <v>5100</v>
      </c>
      <c r="M353" s="19" t="str">
        <f t="shared" si="33"/>
        <v>Radio 76993_UnitID_5100</v>
      </c>
      <c r="N353" s="55" t="s">
        <v>843</v>
      </c>
      <c r="P353" s="19" t="s">
        <v>754</v>
      </c>
      <c r="Q353" s="60">
        <f t="shared" si="34"/>
        <v>0.10038194444496185</v>
      </c>
      <c r="R353" s="19" t="b">
        <v>1</v>
      </c>
      <c r="S353" s="19" t="b">
        <v>1</v>
      </c>
    </row>
    <row r="354" spans="1:22">
      <c r="A354" s="17">
        <v>41739.481192129628</v>
      </c>
      <c r="B354" s="18">
        <v>41739.481192129628</v>
      </c>
      <c r="C354" s="17">
        <v>41739.583865740744</v>
      </c>
      <c r="D354" s="18">
        <v>41739.583865740744</v>
      </c>
      <c r="E354" s="19">
        <v>74</v>
      </c>
      <c r="F354" s="57" t="s">
        <v>844</v>
      </c>
      <c r="G354" s="19" t="str">
        <f t="shared" si="32"/>
        <v>78719</v>
      </c>
      <c r="H354" s="19" t="s">
        <v>251</v>
      </c>
      <c r="I354" s="19" t="s">
        <v>252</v>
      </c>
      <c r="J354" s="19" t="s">
        <v>190</v>
      </c>
      <c r="K354" s="19" t="s">
        <v>191</v>
      </c>
      <c r="L354" s="19">
        <v>5150</v>
      </c>
      <c r="M354" s="19" t="str">
        <f t="shared" si="33"/>
        <v>Radio 78719_UnitID_5150</v>
      </c>
      <c r="N354" s="55" t="s">
        <v>843</v>
      </c>
      <c r="P354" s="19" t="s">
        <v>754</v>
      </c>
      <c r="Q354" s="60">
        <f t="shared" si="34"/>
        <v>0.10267361111618811</v>
      </c>
      <c r="R354" s="19" t="b">
        <v>1</v>
      </c>
      <c r="S354" s="19" t="b">
        <v>1</v>
      </c>
    </row>
    <row r="355" spans="1:22">
      <c r="A355" s="17">
        <v>41739.482534722221</v>
      </c>
      <c r="B355" s="18">
        <v>41739.482534722221</v>
      </c>
      <c r="C355" s="17">
        <v>41739.587164351855</v>
      </c>
      <c r="D355" s="18">
        <v>41739.587164351855</v>
      </c>
      <c r="E355" s="19">
        <v>74</v>
      </c>
      <c r="F355" s="57" t="s">
        <v>845</v>
      </c>
      <c r="G355" s="19" t="str">
        <f t="shared" si="32"/>
        <v>78691</v>
      </c>
      <c r="H355" s="19" t="s">
        <v>251</v>
      </c>
      <c r="I355" s="19" t="s">
        <v>252</v>
      </c>
      <c r="J355" s="19" t="s">
        <v>190</v>
      </c>
      <c r="K355" s="19" t="s">
        <v>191</v>
      </c>
      <c r="L355" s="19">
        <v>5180</v>
      </c>
      <c r="M355" s="19" t="str">
        <f t="shared" si="33"/>
        <v>Radio 78691_UnitID_5180</v>
      </c>
      <c r="N355" s="55" t="s">
        <v>843</v>
      </c>
      <c r="O355" s="19" t="s">
        <v>849</v>
      </c>
      <c r="P355" s="19" t="s">
        <v>754</v>
      </c>
      <c r="Q355" s="60">
        <f t="shared" si="34"/>
        <v>0.10462962963356404</v>
      </c>
      <c r="R355" s="19" t="b">
        <v>1</v>
      </c>
      <c r="S355" s="19" t="b">
        <v>1</v>
      </c>
    </row>
    <row r="356" spans="1:22">
      <c r="A356" s="17">
        <v>41739.483784722222</v>
      </c>
      <c r="B356" s="18">
        <v>41739.483784722222</v>
      </c>
      <c r="C356" s="17">
        <v>41739.580949074072</v>
      </c>
      <c r="D356" s="18">
        <v>41739.580949074072</v>
      </c>
      <c r="E356" s="19">
        <v>74</v>
      </c>
      <c r="F356" s="57" t="s">
        <v>846</v>
      </c>
      <c r="G356" s="19" t="str">
        <f t="shared" si="32"/>
        <v>78593</v>
      </c>
      <c r="H356" s="19" t="s">
        <v>251</v>
      </c>
      <c r="I356" s="19" t="s">
        <v>252</v>
      </c>
      <c r="J356" s="19" t="s">
        <v>190</v>
      </c>
      <c r="K356" s="19" t="s">
        <v>191</v>
      </c>
      <c r="L356" s="19">
        <v>5170</v>
      </c>
      <c r="M356" s="19" t="str">
        <f t="shared" si="33"/>
        <v>Radio 78593_UnitID_5170</v>
      </c>
      <c r="N356" s="55" t="s">
        <v>843</v>
      </c>
      <c r="P356" s="19" t="s">
        <v>754</v>
      </c>
      <c r="Q356" s="60">
        <f t="shared" si="34"/>
        <v>9.7164351849642117E-2</v>
      </c>
      <c r="R356" s="19" t="b">
        <v>1</v>
      </c>
      <c r="S356" s="19" t="b">
        <v>1</v>
      </c>
    </row>
    <row r="357" spans="1:22">
      <c r="A357" s="17">
        <v>41739.595821759256</v>
      </c>
      <c r="B357" s="18">
        <v>41739.595821759256</v>
      </c>
      <c r="C357" s="17">
        <v>41739.597094907411</v>
      </c>
      <c r="D357" s="18">
        <v>41739.597094907411</v>
      </c>
      <c r="E357" s="19">
        <v>74</v>
      </c>
      <c r="F357" s="57" t="s">
        <v>847</v>
      </c>
      <c r="G357" s="19" t="str">
        <f t="shared" si="32"/>
        <v>75742</v>
      </c>
      <c r="H357" s="19" t="s">
        <v>251</v>
      </c>
      <c r="I357" s="19" t="s">
        <v>252</v>
      </c>
      <c r="J357" s="19" t="s">
        <v>190</v>
      </c>
      <c r="K357" s="19" t="s">
        <v>191</v>
      </c>
      <c r="L357" s="19">
        <v>5140</v>
      </c>
      <c r="M357" s="19" t="str">
        <f t="shared" si="33"/>
        <v>Radio 75742_UnitID_5140</v>
      </c>
      <c r="N357" s="55" t="s">
        <v>843</v>
      </c>
      <c r="P357" s="19" t="s">
        <v>852</v>
      </c>
      <c r="Q357" s="60">
        <f t="shared" si="34"/>
        <v>1.273148154723458E-3</v>
      </c>
      <c r="R357" s="19" t="b">
        <v>1</v>
      </c>
      <c r="S357" s="19" t="b">
        <v>1</v>
      </c>
    </row>
    <row r="358" spans="1:22" s="107" customFormat="1" ht="30">
      <c r="A358" s="111">
        <v>41739.600717592592</v>
      </c>
      <c r="B358" s="112">
        <v>41739.600717592592</v>
      </c>
      <c r="C358" s="111">
        <v>41739.602372685185</v>
      </c>
      <c r="D358" s="112">
        <v>41739.602372685185</v>
      </c>
      <c r="E358" s="107">
        <v>74</v>
      </c>
      <c r="F358" s="57" t="s">
        <v>853</v>
      </c>
      <c r="G358" s="107" t="str">
        <f t="shared" si="32"/>
        <v>76304</v>
      </c>
      <c r="H358" s="107" t="s">
        <v>251</v>
      </c>
      <c r="I358" s="107" t="s">
        <v>252</v>
      </c>
      <c r="J358" s="107" t="s">
        <v>190</v>
      </c>
      <c r="K358" s="107" t="s">
        <v>191</v>
      </c>
      <c r="L358" s="107" t="s">
        <v>854</v>
      </c>
      <c r="M358" s="107" t="str">
        <f>CONCATENATE("Radio ",G358,"_UnitID_",L358)</f>
        <v>Radio 76304_UnitID_S5377H1609T76304</v>
      </c>
      <c r="N358" s="110" t="s">
        <v>855</v>
      </c>
      <c r="O358" s="107" t="s">
        <v>856</v>
      </c>
      <c r="P358" s="107" t="s">
        <v>858</v>
      </c>
      <c r="Q358" s="113">
        <f>D358-B358</f>
        <v>1.6550925938645378E-3</v>
      </c>
      <c r="R358" s="107" t="b">
        <v>0</v>
      </c>
      <c r="S358" s="107" t="b">
        <v>0</v>
      </c>
      <c r="V358" s="107" t="s">
        <v>857</v>
      </c>
    </row>
    <row r="359" spans="1:22">
      <c r="A359" s="17">
        <v>41739.652615740742</v>
      </c>
      <c r="B359" s="18">
        <v>41739.652615740742</v>
      </c>
      <c r="C359" s="17">
        <v>41739.696226851855</v>
      </c>
      <c r="D359" s="18">
        <v>41739.696226851855</v>
      </c>
      <c r="E359" s="19">
        <v>75</v>
      </c>
      <c r="F359" s="57" t="s">
        <v>859</v>
      </c>
      <c r="G359" s="19" t="str">
        <f t="shared" si="32"/>
        <v>78734</v>
      </c>
      <c r="H359" s="19" t="s">
        <v>251</v>
      </c>
      <c r="I359" s="19" t="s">
        <v>252</v>
      </c>
      <c r="J359" s="19" t="s">
        <v>190</v>
      </c>
      <c r="K359" s="19" t="s">
        <v>191</v>
      </c>
      <c r="L359" s="19">
        <v>5660</v>
      </c>
      <c r="M359" s="19" t="str">
        <f t="shared" si="33"/>
        <v>Radio 78734_UnitID_5660</v>
      </c>
      <c r="N359" s="55" t="s">
        <v>1418</v>
      </c>
      <c r="P359" s="19" t="s">
        <v>852</v>
      </c>
      <c r="Q359" s="60">
        <f t="shared" ref="Q359:Q374" si="35">IF(D359-B359 &gt; 2,((D359-B359)-1.7),IF(D359-B359 &gt; 1,(D359-B359)-0.7,IF(D359-B359 &gt; 0.5,(D359-B359)-0.7,(D359-B359))))</f>
        <v>4.3611111112113576E-2</v>
      </c>
      <c r="R359" s="19" t="b">
        <v>1</v>
      </c>
      <c r="S359" s="19" t="b">
        <v>1</v>
      </c>
    </row>
    <row r="360" spans="1:22">
      <c r="A360" s="17">
        <v>41739.653067129628</v>
      </c>
      <c r="B360" s="18">
        <v>41739.653067129628</v>
      </c>
      <c r="C360" s="17">
        <v>41739.69804398148</v>
      </c>
      <c r="D360" s="18">
        <v>41739.69804398148</v>
      </c>
      <c r="E360" s="19">
        <v>75</v>
      </c>
      <c r="F360" s="57" t="s">
        <v>860</v>
      </c>
      <c r="G360" s="19" t="str">
        <f t="shared" si="32"/>
        <v>77817</v>
      </c>
      <c r="H360" s="19" t="s">
        <v>251</v>
      </c>
      <c r="I360" s="19" t="s">
        <v>252</v>
      </c>
      <c r="J360" s="19" t="s">
        <v>190</v>
      </c>
      <c r="K360" s="19" t="s">
        <v>191</v>
      </c>
      <c r="L360" s="19">
        <v>5600</v>
      </c>
      <c r="M360" s="19" t="str">
        <f t="shared" si="33"/>
        <v>Radio 77817_UnitID_5600</v>
      </c>
      <c r="N360" s="55" t="s">
        <v>1418</v>
      </c>
      <c r="P360" s="19" t="s">
        <v>852</v>
      </c>
      <c r="Q360" s="60">
        <f t="shared" si="35"/>
        <v>4.4976851851970423E-2</v>
      </c>
      <c r="R360" s="19" t="b">
        <v>1</v>
      </c>
      <c r="S360" s="19" t="b">
        <v>1</v>
      </c>
    </row>
    <row r="361" spans="1:22">
      <c r="A361" s="17">
        <v>41739.653344907405</v>
      </c>
      <c r="B361" s="18">
        <v>41739.653344907405</v>
      </c>
      <c r="C361" s="17">
        <v>41739.689108796294</v>
      </c>
      <c r="D361" s="18">
        <v>41739.689108796294</v>
      </c>
      <c r="E361" s="19">
        <v>75</v>
      </c>
      <c r="F361" s="57" t="s">
        <v>861</v>
      </c>
      <c r="G361" s="19" t="str">
        <f t="shared" si="32"/>
        <v>78578</v>
      </c>
      <c r="H361" s="19" t="s">
        <v>251</v>
      </c>
      <c r="I361" s="19" t="s">
        <v>252</v>
      </c>
      <c r="J361" s="19" t="s">
        <v>190</v>
      </c>
      <c r="K361" s="19" t="s">
        <v>191</v>
      </c>
      <c r="L361" s="19">
        <v>5630</v>
      </c>
      <c r="M361" s="19" t="str">
        <f t="shared" si="33"/>
        <v>Radio 78578_UnitID_5630</v>
      </c>
      <c r="N361" s="55" t="s">
        <v>1418</v>
      </c>
      <c r="P361" s="19" t="s">
        <v>852</v>
      </c>
      <c r="Q361" s="60">
        <f t="shared" si="35"/>
        <v>3.5763888889050577E-2</v>
      </c>
      <c r="R361" s="19" t="b">
        <v>1</v>
      </c>
      <c r="S361" s="19" t="b">
        <v>1</v>
      </c>
    </row>
    <row r="362" spans="1:22">
      <c r="A362" s="17">
        <v>41739.653773148151</v>
      </c>
      <c r="B362" s="18">
        <v>41739.653773148151</v>
      </c>
      <c r="C362" s="17">
        <v>41739.714386574073</v>
      </c>
      <c r="D362" s="18">
        <v>41739.714386574073</v>
      </c>
      <c r="E362" s="19">
        <v>75</v>
      </c>
      <c r="F362" s="57" t="s">
        <v>862</v>
      </c>
      <c r="G362" s="19" t="str">
        <f t="shared" si="32"/>
        <v>78576</v>
      </c>
      <c r="H362" s="19" t="s">
        <v>251</v>
      </c>
      <c r="I362" s="19" t="s">
        <v>252</v>
      </c>
      <c r="J362" s="19" t="s">
        <v>190</v>
      </c>
      <c r="K362" s="19" t="s">
        <v>191</v>
      </c>
      <c r="L362" s="19">
        <v>5690</v>
      </c>
      <c r="M362" s="19" t="str">
        <f t="shared" si="33"/>
        <v>Radio 78576_UnitID_5690</v>
      </c>
      <c r="N362" s="55" t="s">
        <v>1418</v>
      </c>
      <c r="P362" s="19" t="s">
        <v>852</v>
      </c>
      <c r="Q362" s="60">
        <f t="shared" si="35"/>
        <v>6.0613425921474118E-2</v>
      </c>
      <c r="R362" s="19" t="b">
        <v>1</v>
      </c>
      <c r="S362" s="19" t="b">
        <v>1</v>
      </c>
    </row>
    <row r="363" spans="1:22">
      <c r="A363" s="17">
        <v>41739.654363425929</v>
      </c>
      <c r="B363" s="18">
        <v>41739.654363425929</v>
      </c>
      <c r="C363" s="17">
        <v>41739.696145833332</v>
      </c>
      <c r="D363" s="18">
        <v>41739.696145833332</v>
      </c>
      <c r="E363" s="19">
        <v>75</v>
      </c>
      <c r="F363" s="57" t="s">
        <v>863</v>
      </c>
      <c r="G363" s="19" t="str">
        <f t="shared" si="32"/>
        <v>78615</v>
      </c>
      <c r="H363" s="19" t="s">
        <v>251</v>
      </c>
      <c r="I363" s="19" t="s">
        <v>252</v>
      </c>
      <c r="J363" s="19" t="s">
        <v>190</v>
      </c>
      <c r="K363" s="19" t="s">
        <v>191</v>
      </c>
      <c r="L363" s="19">
        <v>5650</v>
      </c>
      <c r="M363" s="19" t="str">
        <f t="shared" si="33"/>
        <v>Radio 78615_UnitID_5650</v>
      </c>
      <c r="N363" s="55" t="s">
        <v>1418</v>
      </c>
      <c r="P363" s="19" t="s">
        <v>852</v>
      </c>
      <c r="Q363" s="60">
        <f t="shared" si="35"/>
        <v>4.1782407402934041E-2</v>
      </c>
      <c r="R363" s="19" t="b">
        <v>1</v>
      </c>
      <c r="S363" s="19" t="b">
        <v>1</v>
      </c>
    </row>
    <row r="364" spans="1:22">
      <c r="A364" s="17">
        <v>41739.654791666668</v>
      </c>
      <c r="B364" s="18">
        <v>41739.654791666668</v>
      </c>
      <c r="C364" s="17">
        <v>41739.715127314812</v>
      </c>
      <c r="D364" s="18">
        <v>41739.715127314812</v>
      </c>
      <c r="E364" s="19">
        <v>75</v>
      </c>
      <c r="F364" s="57" t="s">
        <v>864</v>
      </c>
      <c r="G364" s="19" t="str">
        <f t="shared" si="32"/>
        <v>78661</v>
      </c>
      <c r="H364" s="19" t="s">
        <v>251</v>
      </c>
      <c r="I364" s="19" t="s">
        <v>252</v>
      </c>
      <c r="J364" s="19" t="s">
        <v>190</v>
      </c>
      <c r="K364" s="19" t="s">
        <v>191</v>
      </c>
      <c r="L364" s="19">
        <v>5680</v>
      </c>
      <c r="M364" s="19" t="str">
        <f t="shared" si="33"/>
        <v>Radio 78661_UnitID_5680</v>
      </c>
      <c r="N364" s="55" t="s">
        <v>1418</v>
      </c>
      <c r="P364" s="19" t="s">
        <v>852</v>
      </c>
      <c r="Q364" s="60">
        <f t="shared" si="35"/>
        <v>6.0335648144246079E-2</v>
      </c>
      <c r="R364" s="19" t="b">
        <v>1</v>
      </c>
      <c r="S364" s="19" t="b">
        <v>1</v>
      </c>
      <c r="V364" s="19" t="s">
        <v>878</v>
      </c>
    </row>
    <row r="365" spans="1:22">
      <c r="A365" s="17">
        <v>41739.655277777776</v>
      </c>
      <c r="B365" s="18">
        <v>41739.655277777776</v>
      </c>
      <c r="C365" s="17">
        <v>41739.687442129631</v>
      </c>
      <c r="D365" s="18">
        <v>41739.687442129631</v>
      </c>
      <c r="E365" s="19">
        <v>75</v>
      </c>
      <c r="F365" s="57" t="s">
        <v>865</v>
      </c>
      <c r="G365" s="19" t="str">
        <f t="shared" si="32"/>
        <v>78616</v>
      </c>
      <c r="H365" s="19" t="s">
        <v>251</v>
      </c>
      <c r="I365" s="19" t="s">
        <v>252</v>
      </c>
      <c r="J365" s="19" t="s">
        <v>190</v>
      </c>
      <c r="K365" s="19" t="s">
        <v>191</v>
      </c>
      <c r="L365" s="19">
        <v>5640</v>
      </c>
      <c r="M365" s="19" t="str">
        <f t="shared" si="33"/>
        <v>Radio 78616_UnitID_5640</v>
      </c>
      <c r="N365" s="55" t="s">
        <v>1418</v>
      </c>
      <c r="P365" s="19" t="s">
        <v>852</v>
      </c>
      <c r="Q365" s="60">
        <f t="shared" si="35"/>
        <v>3.2164351854589768E-2</v>
      </c>
      <c r="R365" s="19" t="b">
        <v>1</v>
      </c>
      <c r="S365" s="19" t="b">
        <v>1</v>
      </c>
      <c r="V365" s="19" t="s">
        <v>866</v>
      </c>
    </row>
    <row r="366" spans="1:22">
      <c r="A366" s="17">
        <v>41739.669872685183</v>
      </c>
      <c r="B366" s="18">
        <v>41739.669872685183</v>
      </c>
      <c r="C366" s="17">
        <v>41739.750509259262</v>
      </c>
      <c r="D366" s="18">
        <v>41739.750509259262</v>
      </c>
      <c r="E366" s="19">
        <v>76</v>
      </c>
      <c r="F366" s="57" t="s">
        <v>867</v>
      </c>
      <c r="G366" s="19" t="str">
        <f t="shared" si="32"/>
        <v>78674</v>
      </c>
      <c r="H366" s="19" t="s">
        <v>251</v>
      </c>
      <c r="I366" s="19" t="s">
        <v>252</v>
      </c>
      <c r="J366" s="19" t="s">
        <v>190</v>
      </c>
      <c r="K366" s="19" t="s">
        <v>191</v>
      </c>
      <c r="L366" s="19">
        <v>2080</v>
      </c>
      <c r="M366" s="19" t="str">
        <f t="shared" si="33"/>
        <v>Radio 78674_UnitID_2080</v>
      </c>
      <c r="N366" s="55" t="s">
        <v>637</v>
      </c>
      <c r="P366" s="19" t="s">
        <v>754</v>
      </c>
      <c r="Q366" s="60">
        <f t="shared" si="35"/>
        <v>8.0636574079107959E-2</v>
      </c>
      <c r="R366" s="19" t="b">
        <v>1</v>
      </c>
      <c r="S366" s="19" t="b">
        <v>1</v>
      </c>
    </row>
    <row r="367" spans="1:22">
      <c r="A367" s="17">
        <v>41739.671087962961</v>
      </c>
      <c r="B367" s="18">
        <v>41739.671087962961</v>
      </c>
      <c r="C367" s="17">
        <v>41739.745717592596</v>
      </c>
      <c r="D367" s="18">
        <v>41739.745717592596</v>
      </c>
      <c r="E367" s="19">
        <v>76</v>
      </c>
      <c r="F367" s="57" t="s">
        <v>868</v>
      </c>
      <c r="G367" s="19" t="str">
        <f t="shared" si="32"/>
        <v>97897</v>
      </c>
      <c r="H367" s="19" t="s">
        <v>251</v>
      </c>
      <c r="I367" s="19" t="s">
        <v>252</v>
      </c>
      <c r="J367" s="19" t="s">
        <v>190</v>
      </c>
      <c r="K367" s="19" t="s">
        <v>191</v>
      </c>
      <c r="L367" s="19">
        <v>2060</v>
      </c>
      <c r="M367" s="19" t="str">
        <f t="shared" si="33"/>
        <v>Radio 97897_UnitID_2060</v>
      </c>
      <c r="N367" s="55" t="s">
        <v>637</v>
      </c>
      <c r="P367" s="19" t="s">
        <v>754</v>
      </c>
      <c r="Q367" s="60">
        <f t="shared" si="35"/>
        <v>7.462962963472819E-2</v>
      </c>
      <c r="R367" s="19" t="b">
        <v>1</v>
      </c>
      <c r="S367" s="19" t="b">
        <v>1</v>
      </c>
    </row>
    <row r="368" spans="1:22">
      <c r="A368" s="17">
        <v>41739.671886574077</v>
      </c>
      <c r="B368" s="18">
        <v>41739.671886574077</v>
      </c>
      <c r="C368" s="17">
        <v>41739.763831018521</v>
      </c>
      <c r="D368" s="18">
        <v>41739.763831018521</v>
      </c>
      <c r="E368" s="19">
        <v>76</v>
      </c>
      <c r="F368" s="57" t="s">
        <v>869</v>
      </c>
      <c r="G368" s="19" t="str">
        <f t="shared" si="32"/>
        <v>97883</v>
      </c>
      <c r="H368" s="19" t="s">
        <v>251</v>
      </c>
      <c r="I368" s="19" t="s">
        <v>252</v>
      </c>
      <c r="J368" s="19" t="s">
        <v>190</v>
      </c>
      <c r="K368" s="19" t="s">
        <v>191</v>
      </c>
      <c r="L368" s="19">
        <v>2070</v>
      </c>
      <c r="M368" s="19" t="str">
        <f t="shared" si="33"/>
        <v>Radio 97883_UnitID_2070</v>
      </c>
      <c r="N368" s="55" t="s">
        <v>637</v>
      </c>
      <c r="P368" s="19" t="s">
        <v>754</v>
      </c>
      <c r="Q368" s="60">
        <f t="shared" si="35"/>
        <v>9.1944444444379769E-2</v>
      </c>
      <c r="R368" s="19" t="b">
        <v>1</v>
      </c>
      <c r="S368" s="19" t="b">
        <v>1</v>
      </c>
    </row>
    <row r="369" spans="1:22">
      <c r="A369" s="17">
        <v>41739.673298611109</v>
      </c>
      <c r="B369" s="18">
        <v>41739.673298611109</v>
      </c>
      <c r="C369" s="17">
        <v>41739.737233796295</v>
      </c>
      <c r="D369" s="18">
        <v>41739.737233796295</v>
      </c>
      <c r="E369" s="19">
        <v>76</v>
      </c>
      <c r="F369" s="57" t="s">
        <v>870</v>
      </c>
      <c r="G369" s="19" t="str">
        <f t="shared" si="32"/>
        <v>78729</v>
      </c>
      <c r="H369" s="19" t="s">
        <v>251</v>
      </c>
      <c r="I369" s="19" t="s">
        <v>252</v>
      </c>
      <c r="J369" s="19" t="s">
        <v>190</v>
      </c>
      <c r="K369" s="19" t="s">
        <v>191</v>
      </c>
      <c r="L369" s="19">
        <v>2000</v>
      </c>
      <c r="M369" s="19" t="str">
        <f t="shared" si="33"/>
        <v>Radio 78729_UnitID_2000</v>
      </c>
      <c r="N369" s="55" t="s">
        <v>637</v>
      </c>
      <c r="P369" s="19" t="s">
        <v>754</v>
      </c>
      <c r="Q369" s="60">
        <f t="shared" si="35"/>
        <v>6.3935185185982846E-2</v>
      </c>
      <c r="R369" s="19" t="b">
        <v>1</v>
      </c>
      <c r="S369" s="19" t="b">
        <v>1</v>
      </c>
    </row>
    <row r="370" spans="1:22">
      <c r="A370" s="17">
        <v>41739.67359953704</v>
      </c>
      <c r="B370" s="18">
        <v>41739.67359953704</v>
      </c>
      <c r="C370" s="17">
        <v>41739.773819444446</v>
      </c>
      <c r="D370" s="18">
        <v>41739.773819444446</v>
      </c>
      <c r="E370" s="19">
        <v>76</v>
      </c>
      <c r="F370" s="57" t="s">
        <v>871</v>
      </c>
      <c r="G370" s="19" t="str">
        <f t="shared" si="32"/>
        <v>97845</v>
      </c>
      <c r="H370" s="19" t="s">
        <v>251</v>
      </c>
      <c r="I370" s="19" t="s">
        <v>252</v>
      </c>
      <c r="J370" s="19" t="s">
        <v>190</v>
      </c>
      <c r="K370" s="19" t="s">
        <v>191</v>
      </c>
      <c r="L370" s="19">
        <v>2010</v>
      </c>
      <c r="M370" s="19" t="str">
        <f t="shared" si="33"/>
        <v>Radio 97845_UnitID_2010</v>
      </c>
      <c r="N370" s="55" t="s">
        <v>637</v>
      </c>
      <c r="P370" s="19" t="s">
        <v>770</v>
      </c>
      <c r="Q370" s="60">
        <f t="shared" si="35"/>
        <v>0.1002199074064265</v>
      </c>
      <c r="R370" s="19" t="b">
        <v>1</v>
      </c>
      <c r="S370" s="19" t="b">
        <v>1</v>
      </c>
    </row>
    <row r="371" spans="1:22">
      <c r="A371" s="17">
        <v>41739.673935185187</v>
      </c>
      <c r="B371" s="18">
        <v>41739.673935185187</v>
      </c>
      <c r="C371" s="17">
        <v>41739.730567129627</v>
      </c>
      <c r="D371" s="18">
        <v>41739.730567129627</v>
      </c>
      <c r="E371" s="19">
        <v>76</v>
      </c>
      <c r="F371" s="57" t="s">
        <v>872</v>
      </c>
      <c r="G371" s="19" t="str">
        <f t="shared" si="32"/>
        <v>78731</v>
      </c>
      <c r="H371" s="19" t="s">
        <v>251</v>
      </c>
      <c r="I371" s="19" t="s">
        <v>252</v>
      </c>
      <c r="J371" s="19" t="s">
        <v>190</v>
      </c>
      <c r="K371" s="19" t="s">
        <v>191</v>
      </c>
      <c r="L371" s="19">
        <v>2020</v>
      </c>
      <c r="M371" s="19" t="str">
        <f t="shared" si="33"/>
        <v>Radio 78731_UnitID_2020</v>
      </c>
      <c r="N371" s="55" t="s">
        <v>637</v>
      </c>
      <c r="P371" s="19" t="s">
        <v>754</v>
      </c>
      <c r="Q371" s="60">
        <f t="shared" si="35"/>
        <v>5.6631944440596271E-2</v>
      </c>
      <c r="R371" s="19" t="b">
        <v>1</v>
      </c>
      <c r="S371" s="19" t="b">
        <v>1</v>
      </c>
    </row>
    <row r="372" spans="1:22">
      <c r="A372" s="17">
        <v>41739.676446759258</v>
      </c>
      <c r="B372" s="18">
        <v>41739.676446759258</v>
      </c>
      <c r="C372" s="17">
        <v>41739.740347222221</v>
      </c>
      <c r="D372" s="18">
        <v>41739.740347222221</v>
      </c>
      <c r="E372" s="19">
        <v>76</v>
      </c>
      <c r="F372" s="57" t="s">
        <v>873</v>
      </c>
      <c r="G372" s="19" t="str">
        <f t="shared" si="32"/>
        <v>78546</v>
      </c>
      <c r="H372" s="19" t="s">
        <v>251</v>
      </c>
      <c r="I372" s="19" t="s">
        <v>252</v>
      </c>
      <c r="J372" s="19" t="s">
        <v>190</v>
      </c>
      <c r="K372" s="19" t="s">
        <v>191</v>
      </c>
      <c r="L372" s="19">
        <v>2090</v>
      </c>
      <c r="M372" s="19" t="str">
        <f t="shared" si="33"/>
        <v>Radio 78546_UnitID_2090</v>
      </c>
      <c r="N372" s="55" t="s">
        <v>637</v>
      </c>
      <c r="P372" s="19" t="s">
        <v>874</v>
      </c>
      <c r="Q372" s="60">
        <f t="shared" si="35"/>
        <v>6.3900462962919846E-2</v>
      </c>
      <c r="R372" s="19" t="b">
        <v>1</v>
      </c>
      <c r="S372" s="19" t="b">
        <v>1</v>
      </c>
    </row>
    <row r="373" spans="1:22">
      <c r="A373" s="17">
        <v>41739.677118055559</v>
      </c>
      <c r="B373" s="18">
        <v>41739.677118055559</v>
      </c>
      <c r="C373" s="17">
        <v>41739.768414351849</v>
      </c>
      <c r="D373" s="18">
        <v>41739.768414351849</v>
      </c>
      <c r="E373" s="19">
        <v>76</v>
      </c>
      <c r="F373" s="57" t="s">
        <v>875</v>
      </c>
      <c r="G373" s="19" t="str">
        <f t="shared" si="32"/>
        <v>78714</v>
      </c>
      <c r="H373" s="19" t="s">
        <v>251</v>
      </c>
      <c r="I373" s="19" t="s">
        <v>252</v>
      </c>
      <c r="J373" s="19" t="s">
        <v>190</v>
      </c>
      <c r="K373" s="19" t="s">
        <v>191</v>
      </c>
      <c r="L373" s="19">
        <v>2050</v>
      </c>
      <c r="M373" s="19" t="str">
        <f t="shared" si="33"/>
        <v>Radio 78714_UnitID_2050</v>
      </c>
      <c r="N373" s="55" t="s">
        <v>637</v>
      </c>
      <c r="P373" s="19" t="s">
        <v>876</v>
      </c>
      <c r="Q373" s="60">
        <f t="shared" si="35"/>
        <v>9.1296296290238388E-2</v>
      </c>
      <c r="R373" s="19" t="b">
        <v>1</v>
      </c>
      <c r="S373" s="19" t="b">
        <v>1</v>
      </c>
    </row>
    <row r="374" spans="1:22">
      <c r="A374" s="17">
        <v>41739.67765046296</v>
      </c>
      <c r="B374" s="18">
        <v>41739.67765046296</v>
      </c>
      <c r="C374" s="17">
        <v>41739.716643518521</v>
      </c>
      <c r="D374" s="18">
        <v>41739.716643518521</v>
      </c>
      <c r="E374" s="19">
        <v>76</v>
      </c>
      <c r="F374" s="57" t="s">
        <v>877</v>
      </c>
      <c r="G374" s="19" t="str">
        <f t="shared" si="32"/>
        <v>77823</v>
      </c>
      <c r="H374" s="19" t="s">
        <v>251</v>
      </c>
      <c r="I374" s="19" t="s">
        <v>252</v>
      </c>
      <c r="J374" s="19" t="s">
        <v>190</v>
      </c>
      <c r="K374" s="19" t="s">
        <v>191</v>
      </c>
      <c r="L374" s="19">
        <v>2063</v>
      </c>
      <c r="M374" s="19" t="str">
        <f t="shared" si="33"/>
        <v>Radio 77823_UnitID_2063</v>
      </c>
      <c r="N374" s="55" t="s">
        <v>637</v>
      </c>
      <c r="P374" s="19" t="s">
        <v>770</v>
      </c>
      <c r="Q374" s="60">
        <f t="shared" si="35"/>
        <v>3.8993055561149959E-2</v>
      </c>
      <c r="R374" s="19" t="b">
        <v>1</v>
      </c>
      <c r="S374" s="19" t="b">
        <v>1</v>
      </c>
    </row>
    <row r="375" spans="1:22">
      <c r="A375" s="17">
        <v>41740.378750000003</v>
      </c>
      <c r="B375" s="18">
        <v>41740.378750000003</v>
      </c>
      <c r="C375" s="17">
        <v>41740.410798611112</v>
      </c>
      <c r="D375" s="18">
        <v>41740.410798611112</v>
      </c>
      <c r="E375" s="19">
        <v>77</v>
      </c>
      <c r="F375" s="57" t="s">
        <v>879</v>
      </c>
      <c r="G375" s="19" t="str">
        <f t="shared" ref="G375:G387" si="36">RIGHT(F375,5)</f>
        <v>78361</v>
      </c>
      <c r="H375" s="19" t="s">
        <v>251</v>
      </c>
      <c r="I375" s="19" t="s">
        <v>252</v>
      </c>
      <c r="J375" s="19" t="s">
        <v>190</v>
      </c>
      <c r="K375" s="19" t="s">
        <v>191</v>
      </c>
      <c r="L375" s="19">
        <v>1212</v>
      </c>
      <c r="M375" s="19" t="str">
        <f t="shared" ref="M375:M387" si="37">CONCATENATE("Radio ",G375,"_UnitID_",L375)</f>
        <v>Radio 78361_UnitID_1212</v>
      </c>
      <c r="N375" s="55" t="s">
        <v>352</v>
      </c>
      <c r="P375" s="19" t="s">
        <v>754</v>
      </c>
      <c r="Q375" s="60">
        <f t="shared" ref="Q375:Q387" si="38">IF(D375-B375 &gt; 2,((D375-B375)-1.7),IF(D375-B375 &gt; 1,(D375-B375)-0.7,IF(D375-B375 &gt; 0.5,(D375-B375)-0.7,(D375-B375))))</f>
        <v>3.2048611108621117E-2</v>
      </c>
      <c r="R375" s="19" t="b">
        <v>1</v>
      </c>
      <c r="S375" s="19" t="b">
        <v>1</v>
      </c>
    </row>
    <row r="376" spans="1:22">
      <c r="A376" s="17">
        <v>41740.379976851851</v>
      </c>
      <c r="B376" s="18">
        <v>41740.379976851851</v>
      </c>
      <c r="C376" s="17">
        <v>41740.410902777781</v>
      </c>
      <c r="D376" s="18">
        <v>41740.410902777781</v>
      </c>
      <c r="E376" s="19">
        <v>77</v>
      </c>
      <c r="F376" s="57" t="s">
        <v>880</v>
      </c>
      <c r="G376" s="19" t="str">
        <f t="shared" si="36"/>
        <v>78717</v>
      </c>
      <c r="H376" s="19" t="s">
        <v>251</v>
      </c>
      <c r="I376" s="19" t="s">
        <v>252</v>
      </c>
      <c r="J376" s="19" t="s">
        <v>190</v>
      </c>
      <c r="K376" s="19" t="s">
        <v>191</v>
      </c>
      <c r="L376" s="19">
        <v>1222</v>
      </c>
      <c r="M376" s="19" t="str">
        <f t="shared" si="37"/>
        <v>Radio 78717_UnitID_1222</v>
      </c>
      <c r="N376" s="55" t="s">
        <v>352</v>
      </c>
      <c r="P376" s="19" t="s">
        <v>754</v>
      </c>
      <c r="Q376" s="60">
        <f t="shared" si="38"/>
        <v>3.0925925930205267E-2</v>
      </c>
      <c r="R376" s="19" t="b">
        <v>1</v>
      </c>
      <c r="S376" s="19" t="b">
        <v>1</v>
      </c>
    </row>
    <row r="377" spans="1:22">
      <c r="A377" s="17">
        <v>41740.380439814813</v>
      </c>
      <c r="B377" s="18">
        <v>41740.380439814813</v>
      </c>
      <c r="C377" s="17">
        <v>41740.400416666664</v>
      </c>
      <c r="D377" s="18">
        <v>41740.400416666664</v>
      </c>
      <c r="E377" s="19">
        <v>77</v>
      </c>
      <c r="F377" s="57" t="s">
        <v>881</v>
      </c>
      <c r="G377" s="19" t="str">
        <f t="shared" si="36"/>
        <v>78589</v>
      </c>
      <c r="H377" s="19" t="s">
        <v>251</v>
      </c>
      <c r="I377" s="19" t="s">
        <v>252</v>
      </c>
      <c r="J377" s="19" t="s">
        <v>190</v>
      </c>
      <c r="K377" s="19" t="s">
        <v>191</v>
      </c>
      <c r="L377" s="19">
        <v>6400</v>
      </c>
      <c r="M377" s="19" t="str">
        <f t="shared" si="37"/>
        <v>Radio 78589_UnitID_6400</v>
      </c>
      <c r="N377" s="55" t="s">
        <v>352</v>
      </c>
      <c r="P377" s="19" t="s">
        <v>754</v>
      </c>
      <c r="Q377" s="60">
        <f t="shared" si="38"/>
        <v>1.9976851850515231E-2</v>
      </c>
      <c r="R377" s="19" t="b">
        <v>1</v>
      </c>
      <c r="S377" s="19" t="b">
        <v>1</v>
      </c>
    </row>
    <row r="378" spans="1:22">
      <c r="A378" s="17">
        <v>41740.380810185183</v>
      </c>
      <c r="B378" s="18">
        <v>41740.380810185183</v>
      </c>
      <c r="C378" s="17">
        <v>41740.374722222223</v>
      </c>
      <c r="D378" s="18">
        <v>41740.374722222223</v>
      </c>
      <c r="E378" s="19">
        <v>77</v>
      </c>
      <c r="F378" s="57" t="s">
        <v>882</v>
      </c>
      <c r="G378" s="19" t="str">
        <f t="shared" si="36"/>
        <v>78657</v>
      </c>
      <c r="H378" s="19" t="s">
        <v>251</v>
      </c>
      <c r="I378" s="19" t="s">
        <v>252</v>
      </c>
      <c r="J378" s="19" t="s">
        <v>190</v>
      </c>
      <c r="K378" s="19" t="s">
        <v>191</v>
      </c>
      <c r="L378" s="19">
        <v>1000</v>
      </c>
      <c r="M378" s="19" t="str">
        <f t="shared" si="37"/>
        <v>Radio 78657_UnitID_1000</v>
      </c>
      <c r="N378" s="55" t="s">
        <v>352</v>
      </c>
      <c r="P378" s="19" t="s">
        <v>754</v>
      </c>
      <c r="Q378" s="60">
        <f t="shared" si="38"/>
        <v>-6.0879629600094631E-3</v>
      </c>
      <c r="R378" s="19" t="b">
        <v>1</v>
      </c>
      <c r="S378" s="19" t="b">
        <v>1</v>
      </c>
    </row>
    <row r="379" spans="1:22">
      <c r="A379" s="17">
        <v>41740.416412037041</v>
      </c>
      <c r="B379" s="18">
        <v>41740.416412037041</v>
      </c>
      <c r="C379" s="17">
        <v>41740.440960648149</v>
      </c>
      <c r="D379" s="18">
        <v>41740.440960648149</v>
      </c>
      <c r="E379" s="19">
        <v>78</v>
      </c>
      <c r="F379" s="57" t="s">
        <v>883</v>
      </c>
      <c r="G379" s="19" t="str">
        <f t="shared" si="36"/>
        <v>78694</v>
      </c>
      <c r="H379" s="19" t="s">
        <v>251</v>
      </c>
      <c r="I379" s="19" t="s">
        <v>252</v>
      </c>
      <c r="J379" s="19" t="s">
        <v>190</v>
      </c>
      <c r="K379" s="19" t="s">
        <v>191</v>
      </c>
      <c r="L379" s="19">
        <v>2310</v>
      </c>
      <c r="M379" s="19" t="str">
        <f t="shared" si="37"/>
        <v>Radio 78694_UnitID_2310</v>
      </c>
      <c r="N379" s="55" t="s">
        <v>305</v>
      </c>
      <c r="P379" s="19" t="s">
        <v>754</v>
      </c>
      <c r="Q379" s="60">
        <f t="shared" si="38"/>
        <v>2.4548611108912155E-2</v>
      </c>
      <c r="R379" s="19" t="b">
        <v>1</v>
      </c>
      <c r="S379" s="19" t="b">
        <v>1</v>
      </c>
      <c r="V379" s="19" t="s">
        <v>896</v>
      </c>
    </row>
    <row r="380" spans="1:22">
      <c r="A380" s="17">
        <v>41740.416909722226</v>
      </c>
      <c r="B380" s="18">
        <v>41740.416909722226</v>
      </c>
      <c r="C380" s="17">
        <v>41740.454560185186</v>
      </c>
      <c r="D380" s="18">
        <v>41740.454560185186</v>
      </c>
      <c r="E380" s="19">
        <v>79</v>
      </c>
      <c r="F380" s="57" t="s">
        <v>884</v>
      </c>
      <c r="G380" s="19" t="str">
        <f t="shared" si="36"/>
        <v>78689</v>
      </c>
      <c r="H380" s="19" t="s">
        <v>251</v>
      </c>
      <c r="I380" s="19" t="s">
        <v>252</v>
      </c>
      <c r="J380" s="19" t="s">
        <v>190</v>
      </c>
      <c r="K380" s="19" t="s">
        <v>191</v>
      </c>
      <c r="L380" s="19">
        <v>2620</v>
      </c>
      <c r="M380" s="19" t="str">
        <f t="shared" si="37"/>
        <v>Radio 78689_UnitID_2620</v>
      </c>
      <c r="N380" s="55" t="s">
        <v>304</v>
      </c>
      <c r="P380" s="19" t="s">
        <v>754</v>
      </c>
      <c r="Q380" s="60">
        <f t="shared" si="38"/>
        <v>3.7650462960300501E-2</v>
      </c>
      <c r="R380" s="19" t="b">
        <v>1</v>
      </c>
      <c r="S380" s="19" t="b">
        <v>1</v>
      </c>
    </row>
    <row r="381" spans="1:22">
      <c r="A381" s="17">
        <v>41740.418379629627</v>
      </c>
      <c r="B381" s="18">
        <v>41740.418379629627</v>
      </c>
      <c r="C381" s="17">
        <v>41740.441053240742</v>
      </c>
      <c r="D381" s="18">
        <v>41740.441053240742</v>
      </c>
      <c r="E381" s="19">
        <v>80</v>
      </c>
      <c r="F381" s="57" t="s">
        <v>885</v>
      </c>
      <c r="G381" s="19" t="str">
        <f t="shared" si="36"/>
        <v>77832</v>
      </c>
      <c r="H381" s="19" t="s">
        <v>886</v>
      </c>
      <c r="I381" s="19" t="s">
        <v>252</v>
      </c>
      <c r="J381" s="19" t="s">
        <v>190</v>
      </c>
      <c r="K381" s="19" t="s">
        <v>191</v>
      </c>
      <c r="L381" s="19">
        <v>2930</v>
      </c>
      <c r="M381" s="19" t="str">
        <f t="shared" si="37"/>
        <v>Radio 77832_UnitID_2930</v>
      </c>
      <c r="N381" s="55" t="s">
        <v>887</v>
      </c>
      <c r="P381" s="19" t="s">
        <v>754</v>
      </c>
      <c r="Q381" s="60">
        <f t="shared" si="38"/>
        <v>2.2673611114441883E-2</v>
      </c>
      <c r="R381" s="19" t="b">
        <v>1</v>
      </c>
      <c r="S381" s="19" t="b">
        <v>1</v>
      </c>
    </row>
    <row r="382" spans="1:22">
      <c r="A382" s="17">
        <v>41740.419374999998</v>
      </c>
      <c r="B382" s="18">
        <v>41740.419374999998</v>
      </c>
      <c r="C382" s="17">
        <v>41740.474039351851</v>
      </c>
      <c r="D382" s="18">
        <v>41740.474039351851</v>
      </c>
      <c r="E382" s="19">
        <v>81</v>
      </c>
      <c r="F382" s="57" t="s">
        <v>888</v>
      </c>
      <c r="G382" s="19" t="str">
        <f t="shared" si="36"/>
        <v>78540</v>
      </c>
      <c r="H382" s="19" t="s">
        <v>251</v>
      </c>
      <c r="I382" s="19" t="s">
        <v>252</v>
      </c>
      <c r="J382" s="19" t="s">
        <v>190</v>
      </c>
      <c r="K382" s="19" t="s">
        <v>191</v>
      </c>
      <c r="L382" s="19">
        <v>2710</v>
      </c>
      <c r="M382" s="19" t="str">
        <f t="shared" si="37"/>
        <v>Radio 78540_UnitID_2710</v>
      </c>
      <c r="N382" s="55" t="s">
        <v>284</v>
      </c>
      <c r="P382" s="19" t="s">
        <v>754</v>
      </c>
      <c r="Q382" s="60">
        <f t="shared" si="38"/>
        <v>5.4664351853716653E-2</v>
      </c>
      <c r="R382" s="19" t="b">
        <v>1</v>
      </c>
      <c r="S382" s="19" t="b">
        <v>1</v>
      </c>
    </row>
    <row r="383" spans="1:22">
      <c r="A383" s="17">
        <v>41740.421574074076</v>
      </c>
      <c r="B383" s="18">
        <v>41740.421574074076</v>
      </c>
      <c r="C383" s="17">
        <v>41740.474270833336</v>
      </c>
      <c r="D383" s="18">
        <v>41740.474270833336</v>
      </c>
      <c r="E383" s="19">
        <v>82</v>
      </c>
      <c r="F383" s="57" t="s">
        <v>889</v>
      </c>
      <c r="G383" s="19" t="str">
        <f t="shared" si="36"/>
        <v>78724</v>
      </c>
      <c r="H383" s="19" t="s">
        <v>251</v>
      </c>
      <c r="I383" s="19" t="s">
        <v>252</v>
      </c>
      <c r="J383" s="19" t="s">
        <v>190</v>
      </c>
      <c r="K383" s="19" t="s">
        <v>191</v>
      </c>
      <c r="L383" s="19">
        <v>2810</v>
      </c>
      <c r="M383" s="19" t="str">
        <f t="shared" si="37"/>
        <v>Radio 78724_UnitID_2810</v>
      </c>
      <c r="N383" s="55" t="s">
        <v>278</v>
      </c>
      <c r="P383" s="19" t="s">
        <v>754</v>
      </c>
      <c r="Q383" s="60">
        <f t="shared" si="38"/>
        <v>5.2696759259561077E-2</v>
      </c>
      <c r="R383" s="19" t="b">
        <v>1</v>
      </c>
      <c r="S383" s="19" t="b">
        <v>1</v>
      </c>
    </row>
    <row r="384" spans="1:22">
      <c r="A384" s="17">
        <v>41740.51871527778</v>
      </c>
      <c r="B384" s="18">
        <v>41740.51871527778</v>
      </c>
      <c r="C384" s="17">
        <v>41740.519907407404</v>
      </c>
      <c r="D384" s="18">
        <v>41740.519907407404</v>
      </c>
      <c r="E384" s="19">
        <v>83</v>
      </c>
      <c r="F384" s="57" t="s">
        <v>890</v>
      </c>
      <c r="G384" s="19" t="str">
        <f t="shared" si="36"/>
        <v>78705</v>
      </c>
      <c r="H384" s="19" t="s">
        <v>251</v>
      </c>
      <c r="I384" s="19" t="s">
        <v>891</v>
      </c>
      <c r="J384" s="19" t="s">
        <v>206</v>
      </c>
      <c r="K384" s="19" t="s">
        <v>206</v>
      </c>
      <c r="L384" s="19" t="s">
        <v>891</v>
      </c>
      <c r="M384" s="19" t="str">
        <f t="shared" si="37"/>
        <v>Radio 78705_UnitID_UNK</v>
      </c>
      <c r="N384" s="55" t="s">
        <v>892</v>
      </c>
      <c r="O384" s="19" t="s">
        <v>893</v>
      </c>
      <c r="P384" s="19" t="s">
        <v>770</v>
      </c>
      <c r="Q384" s="60">
        <f t="shared" si="38"/>
        <v>1.1921296245418489E-3</v>
      </c>
      <c r="R384" s="19" t="b">
        <v>0</v>
      </c>
      <c r="S384" s="19" t="b">
        <v>0</v>
      </c>
    </row>
    <row r="385" spans="1:22">
      <c r="A385" s="17">
        <v>41740.548402777778</v>
      </c>
      <c r="B385" s="18">
        <v>41740.548402777778</v>
      </c>
      <c r="C385" s="17">
        <v>41740.584120370368</v>
      </c>
      <c r="D385" s="18">
        <v>41740.584120370368</v>
      </c>
      <c r="E385" s="19">
        <v>84</v>
      </c>
      <c r="F385" s="57" t="s">
        <v>894</v>
      </c>
      <c r="G385" s="19" t="str">
        <f t="shared" si="36"/>
        <v>11981</v>
      </c>
      <c r="H385" s="19" t="s">
        <v>188</v>
      </c>
      <c r="I385" s="19" t="s">
        <v>245</v>
      </c>
      <c r="J385" s="19" t="s">
        <v>895</v>
      </c>
      <c r="K385" s="19" t="s">
        <v>191</v>
      </c>
      <c r="L385" s="19">
        <v>2052</v>
      </c>
      <c r="M385" s="19" t="str">
        <f t="shared" si="37"/>
        <v>Radio 11981_UnitID_2052</v>
      </c>
      <c r="N385" s="55" t="s">
        <v>637</v>
      </c>
      <c r="P385" s="19" t="s">
        <v>204</v>
      </c>
      <c r="Q385" s="60">
        <f t="shared" si="38"/>
        <v>3.5717592589207925E-2</v>
      </c>
      <c r="R385" s="19" t="b">
        <v>1</v>
      </c>
      <c r="S385" s="19" t="b">
        <v>1</v>
      </c>
    </row>
    <row r="386" spans="1:22">
      <c r="A386" s="17">
        <v>41740.624236111114</v>
      </c>
      <c r="B386" s="18">
        <v>41740.624236111114</v>
      </c>
      <c r="C386" s="17">
        <v>41740.648344907408</v>
      </c>
      <c r="D386" s="18">
        <v>41740.648344907408</v>
      </c>
      <c r="E386" s="19">
        <v>85</v>
      </c>
      <c r="F386" s="57" t="s">
        <v>897</v>
      </c>
      <c r="G386" s="19" t="str">
        <f t="shared" si="36"/>
        <v>78559</v>
      </c>
      <c r="H386" s="19" t="s">
        <v>251</v>
      </c>
      <c r="I386" s="19" t="s">
        <v>252</v>
      </c>
      <c r="J386" s="19" t="s">
        <v>895</v>
      </c>
      <c r="K386" s="19" t="s">
        <v>191</v>
      </c>
      <c r="L386" s="19">
        <v>4020</v>
      </c>
      <c r="M386" s="19" t="str">
        <f t="shared" si="37"/>
        <v>Radio 78559_UnitID_4020</v>
      </c>
      <c r="N386" s="55" t="s">
        <v>898</v>
      </c>
      <c r="P386" s="19" t="s">
        <v>754</v>
      </c>
      <c r="Q386" s="60">
        <f t="shared" si="38"/>
        <v>2.4108796293148771E-2</v>
      </c>
      <c r="R386" s="19" t="b">
        <v>1</v>
      </c>
      <c r="S386" s="19" t="b">
        <v>1</v>
      </c>
    </row>
    <row r="387" spans="1:22">
      <c r="A387" s="17">
        <v>41740.624861111108</v>
      </c>
      <c r="B387" s="18">
        <v>41740.624861111108</v>
      </c>
      <c r="C387" s="17">
        <v>41740.657187500001</v>
      </c>
      <c r="D387" s="18">
        <v>41740.657187500001</v>
      </c>
      <c r="E387" s="19">
        <v>86</v>
      </c>
      <c r="F387" s="57" t="s">
        <v>899</v>
      </c>
      <c r="G387" s="19" t="str">
        <f t="shared" si="36"/>
        <v>78583</v>
      </c>
      <c r="H387" s="19" t="s">
        <v>251</v>
      </c>
      <c r="I387" s="19" t="s">
        <v>732</v>
      </c>
      <c r="J387" s="19" t="s">
        <v>895</v>
      </c>
      <c r="K387" s="19" t="s">
        <v>191</v>
      </c>
      <c r="L387" s="19">
        <v>4090</v>
      </c>
      <c r="M387" s="19" t="str">
        <f t="shared" si="37"/>
        <v>Radio 78583_UnitID_4090</v>
      </c>
      <c r="N387" s="55" t="s">
        <v>694</v>
      </c>
      <c r="P387" s="19" t="s">
        <v>754</v>
      </c>
      <c r="Q387" s="60">
        <f t="shared" si="38"/>
        <v>3.2326388893125113E-2</v>
      </c>
      <c r="R387" s="19" t="b">
        <v>1</v>
      </c>
      <c r="S387" s="19" t="b">
        <v>1</v>
      </c>
    </row>
    <row r="388" spans="1:22" ht="30">
      <c r="A388" s="17">
        <v>41740.674942129626</v>
      </c>
      <c r="B388" s="18">
        <v>41740.674942129626</v>
      </c>
      <c r="C388" s="17">
        <v>41740.707245370373</v>
      </c>
      <c r="D388" s="18">
        <v>41740.707245370373</v>
      </c>
      <c r="E388" s="19">
        <v>87</v>
      </c>
      <c r="F388" s="57" t="s">
        <v>900</v>
      </c>
      <c r="G388" s="19" t="str">
        <f t="shared" ref="G388:G406" si="39">RIGHT(F388,5)</f>
        <v>78590</v>
      </c>
      <c r="H388" s="19" t="s">
        <v>251</v>
      </c>
      <c r="I388" s="19" t="s">
        <v>252</v>
      </c>
      <c r="J388" s="19" t="s">
        <v>895</v>
      </c>
      <c r="K388" s="19" t="s">
        <v>191</v>
      </c>
      <c r="L388" s="19">
        <v>2520</v>
      </c>
      <c r="M388" s="19" t="str">
        <f t="shared" ref="M388:M406" si="40">CONCATENATE("Radio ",G388,"_UnitID_",L388)</f>
        <v>Radio 78590_UnitID_2520</v>
      </c>
      <c r="N388" s="55" t="s">
        <v>901</v>
      </c>
      <c r="O388" s="19" t="s">
        <v>517</v>
      </c>
      <c r="P388" s="19" t="s">
        <v>754</v>
      </c>
      <c r="Q388" s="60">
        <f t="shared" ref="Q388:Q406" si="41">IF(D388-B388 &gt; 2,((D388-B388)-1.7),IF(D388-B388 &gt; 1,(D388-B388)-0.7,IF(D388-B388 &gt; 0.5,(D388-B388)-0.7,(D388-B388))))</f>
        <v>3.2303240746841766E-2</v>
      </c>
      <c r="R388" s="19" t="b">
        <v>1</v>
      </c>
      <c r="S388" s="19" t="b">
        <v>1</v>
      </c>
      <c r="V388" s="19" t="s">
        <v>904</v>
      </c>
    </row>
    <row r="389" spans="1:22" ht="30">
      <c r="A389" s="17">
        <v>41740.675925925927</v>
      </c>
      <c r="B389" s="18">
        <v>41740.675925925927</v>
      </c>
      <c r="C389" s="17">
        <v>41740.717743055553</v>
      </c>
      <c r="D389" s="18">
        <v>41740.717743055553</v>
      </c>
      <c r="E389" s="19">
        <v>87</v>
      </c>
      <c r="F389" s="57" t="s">
        <v>902</v>
      </c>
      <c r="G389" s="19" t="str">
        <f t="shared" si="39"/>
        <v>78572</v>
      </c>
      <c r="H389" s="19" t="s">
        <v>251</v>
      </c>
      <c r="I389" s="19" t="s">
        <v>252</v>
      </c>
      <c r="J389" s="19" t="s">
        <v>895</v>
      </c>
      <c r="K389" s="19" t="s">
        <v>191</v>
      </c>
      <c r="L389" s="19">
        <v>2510</v>
      </c>
      <c r="M389" s="19" t="str">
        <f t="shared" si="40"/>
        <v>Radio 78572_UnitID_2510</v>
      </c>
      <c r="N389" s="55" t="s">
        <v>901</v>
      </c>
      <c r="P389" s="19" t="s">
        <v>754</v>
      </c>
      <c r="Q389" s="60">
        <f t="shared" si="41"/>
        <v>4.181712962599704E-2</v>
      </c>
      <c r="R389" s="19" t="b">
        <v>1</v>
      </c>
      <c r="S389" s="19" t="b">
        <v>1</v>
      </c>
    </row>
    <row r="390" spans="1:22" ht="30">
      <c r="A390" s="17">
        <v>41740.693576388891</v>
      </c>
      <c r="B390" s="18">
        <v>41740.693576388891</v>
      </c>
      <c r="C390" s="17">
        <v>41740.723043981481</v>
      </c>
      <c r="D390" s="18">
        <v>41740.723043981481</v>
      </c>
      <c r="E390" s="19">
        <v>88</v>
      </c>
      <c r="F390" s="57" t="s">
        <v>903</v>
      </c>
      <c r="G390" s="19" t="str">
        <f t="shared" si="39"/>
        <v>78730</v>
      </c>
      <c r="H390" s="19" t="s">
        <v>251</v>
      </c>
      <c r="I390" s="19" t="s">
        <v>252</v>
      </c>
      <c r="J390" s="19" t="s">
        <v>895</v>
      </c>
      <c r="K390" s="19" t="s">
        <v>191</v>
      </c>
      <c r="L390" s="19">
        <v>4010</v>
      </c>
      <c r="M390" s="19" t="str">
        <f t="shared" si="40"/>
        <v>Radio 78730_UnitID_4010</v>
      </c>
      <c r="N390" s="55" t="s">
        <v>545</v>
      </c>
      <c r="P390" s="19" t="s">
        <v>754</v>
      </c>
      <c r="Q390" s="60">
        <f t="shared" si="41"/>
        <v>2.9467592590663116E-2</v>
      </c>
      <c r="R390" s="19" t="b">
        <v>1</v>
      </c>
      <c r="S390" s="19" t="b">
        <v>1</v>
      </c>
    </row>
    <row r="391" spans="1:22">
      <c r="A391" s="17">
        <v>41741.305879629632</v>
      </c>
      <c r="B391" s="18">
        <v>41741.305879629632</v>
      </c>
      <c r="C391" s="17">
        <v>41741.338854166665</v>
      </c>
      <c r="D391" s="18">
        <v>41741.338854166665</v>
      </c>
      <c r="E391" s="19">
        <v>89</v>
      </c>
      <c r="F391" s="57" t="s">
        <v>905</v>
      </c>
      <c r="G391" s="19" t="str">
        <f t="shared" si="39"/>
        <v>76353</v>
      </c>
      <c r="H391" s="19" t="s">
        <v>251</v>
      </c>
      <c r="I391" s="19" t="s">
        <v>252</v>
      </c>
      <c r="J391" s="19" t="s">
        <v>895</v>
      </c>
      <c r="K391" s="19" t="s">
        <v>191</v>
      </c>
      <c r="L391" s="19">
        <v>4420</v>
      </c>
      <c r="M391" s="19" t="str">
        <f t="shared" si="40"/>
        <v>Radio 76353_UnitID_4420</v>
      </c>
      <c r="N391" s="55" t="s">
        <v>906</v>
      </c>
      <c r="P391" s="19" t="s">
        <v>754</v>
      </c>
      <c r="Q391" s="60">
        <f t="shared" si="41"/>
        <v>3.2974537032714579E-2</v>
      </c>
      <c r="R391" s="19" t="b">
        <v>1</v>
      </c>
      <c r="S391" s="19" t="b">
        <v>1</v>
      </c>
    </row>
    <row r="392" spans="1:22">
      <c r="A392" s="17">
        <v>41741.332129629627</v>
      </c>
      <c r="B392" s="18">
        <v>41741.332129629627</v>
      </c>
      <c r="C392" s="17">
        <v>41741.362083333333</v>
      </c>
      <c r="D392" s="18">
        <v>41741.362083333333</v>
      </c>
      <c r="E392" s="19">
        <v>90</v>
      </c>
      <c r="F392" s="57" t="s">
        <v>907</v>
      </c>
      <c r="G392" s="19" t="str">
        <f t="shared" si="39"/>
        <v>78585</v>
      </c>
      <c r="H392" s="19" t="s">
        <v>251</v>
      </c>
      <c r="I392" s="19" t="s">
        <v>252</v>
      </c>
      <c r="J392" s="19" t="s">
        <v>895</v>
      </c>
      <c r="K392" s="19" t="s">
        <v>191</v>
      </c>
      <c r="L392" s="19">
        <v>4220</v>
      </c>
      <c r="M392" s="19" t="str">
        <f t="shared" si="40"/>
        <v>Radio 78585_UnitID_4220</v>
      </c>
      <c r="N392" s="55" t="s">
        <v>908</v>
      </c>
      <c r="P392" s="19" t="s">
        <v>754</v>
      </c>
      <c r="Q392" s="60">
        <f t="shared" si="41"/>
        <v>2.9953703706269152E-2</v>
      </c>
      <c r="R392" s="19" t="b">
        <v>1</v>
      </c>
      <c r="S392" s="19" t="b">
        <v>1</v>
      </c>
    </row>
    <row r="393" spans="1:22">
      <c r="A393" s="17">
        <v>41741.332696759258</v>
      </c>
      <c r="B393" s="18">
        <v>41741.332696759258</v>
      </c>
      <c r="C393" s="17">
        <v>41741.364328703705</v>
      </c>
      <c r="D393" s="18">
        <v>41741.364328703705</v>
      </c>
      <c r="E393" s="19">
        <v>90</v>
      </c>
      <c r="F393" s="57" t="s">
        <v>909</v>
      </c>
      <c r="G393" s="19" t="str">
        <f t="shared" si="39"/>
        <v>76354</v>
      </c>
      <c r="H393" s="19" t="s">
        <v>251</v>
      </c>
      <c r="I393" s="19" t="s">
        <v>252</v>
      </c>
      <c r="J393" s="19" t="s">
        <v>895</v>
      </c>
      <c r="K393" s="19" t="s">
        <v>191</v>
      </c>
      <c r="L393" s="19">
        <v>4230</v>
      </c>
      <c r="M393" s="19" t="str">
        <f t="shared" si="40"/>
        <v>Radio 76354_UnitID_4230</v>
      </c>
      <c r="N393" s="55" t="s">
        <v>908</v>
      </c>
      <c r="P393" s="19" t="s">
        <v>754</v>
      </c>
      <c r="Q393" s="60">
        <f t="shared" si="41"/>
        <v>3.1631944446417037E-2</v>
      </c>
      <c r="R393" s="19" t="b">
        <v>1</v>
      </c>
      <c r="S393" s="19" t="b">
        <v>1</v>
      </c>
    </row>
    <row r="394" spans="1:22">
      <c r="A394" s="17">
        <v>41741.37128472222</v>
      </c>
      <c r="B394" s="18">
        <v>41741.37128472222</v>
      </c>
      <c r="C394" s="17">
        <v>41741.398333333331</v>
      </c>
      <c r="D394" s="18">
        <v>41741.398333333331</v>
      </c>
      <c r="E394" s="19">
        <v>91</v>
      </c>
      <c r="F394" s="57" t="s">
        <v>910</v>
      </c>
      <c r="G394" s="19" t="str">
        <f t="shared" si="39"/>
        <v>78554</v>
      </c>
      <c r="H394" s="19" t="s">
        <v>251</v>
      </c>
      <c r="I394" s="19" t="s">
        <v>252</v>
      </c>
      <c r="J394" s="19" t="s">
        <v>895</v>
      </c>
      <c r="K394" s="19" t="s">
        <v>191</v>
      </c>
      <c r="L394" s="19">
        <v>1120</v>
      </c>
      <c r="M394" s="19" t="str">
        <f t="shared" si="40"/>
        <v>Radio 78554_UnitID_1120</v>
      </c>
      <c r="N394" s="55" t="s">
        <v>352</v>
      </c>
      <c r="P394" s="19" t="s">
        <v>754</v>
      </c>
      <c r="Q394" s="60">
        <f t="shared" si="41"/>
        <v>2.7048611111240461E-2</v>
      </c>
      <c r="R394" s="19" t="b">
        <v>1</v>
      </c>
      <c r="S394" s="19" t="b">
        <v>1</v>
      </c>
      <c r="V394" s="19" t="s">
        <v>911</v>
      </c>
    </row>
    <row r="395" spans="1:22">
      <c r="A395" s="17">
        <v>41741.372581018521</v>
      </c>
      <c r="B395" s="18">
        <v>41741.372581018521</v>
      </c>
      <c r="C395" s="17">
        <v>41741.398449074077</v>
      </c>
      <c r="D395" s="18">
        <v>41741.398449074077</v>
      </c>
      <c r="E395" s="19">
        <v>92</v>
      </c>
      <c r="F395" s="57" t="s">
        <v>912</v>
      </c>
      <c r="G395" s="19" t="str">
        <f t="shared" si="39"/>
        <v>78600</v>
      </c>
      <c r="H395" s="19" t="s">
        <v>251</v>
      </c>
      <c r="I395" s="19" t="s">
        <v>252</v>
      </c>
      <c r="J395" s="19" t="s">
        <v>895</v>
      </c>
      <c r="K395" s="19" t="s">
        <v>191</v>
      </c>
      <c r="L395" s="19">
        <v>4520</v>
      </c>
      <c r="M395" s="19" t="str">
        <f t="shared" si="40"/>
        <v>Radio 78600_UnitID_4520</v>
      </c>
      <c r="N395" s="55" t="s">
        <v>913</v>
      </c>
      <c r="P395" s="19" t="s">
        <v>754</v>
      </c>
      <c r="Q395" s="60">
        <f t="shared" si="41"/>
        <v>2.5868055556202307E-2</v>
      </c>
      <c r="R395" s="19" t="b">
        <v>1</v>
      </c>
      <c r="S395" s="19" t="b">
        <v>1</v>
      </c>
    </row>
    <row r="396" spans="1:22">
      <c r="A396" s="17">
        <v>41741.381909722222</v>
      </c>
      <c r="B396" s="18">
        <v>41741.381909722222</v>
      </c>
      <c r="C396" s="17">
        <v>41741.402326388888</v>
      </c>
      <c r="D396" s="18">
        <v>41741.402326388888</v>
      </c>
      <c r="E396" s="19">
        <v>93</v>
      </c>
      <c r="F396" s="57" t="s">
        <v>914</v>
      </c>
      <c r="G396" s="19" t="str">
        <f t="shared" si="39"/>
        <v>78545</v>
      </c>
      <c r="H396" s="19" t="s">
        <v>251</v>
      </c>
      <c r="I396" s="19" t="s">
        <v>252</v>
      </c>
      <c r="J396" s="19" t="s">
        <v>895</v>
      </c>
      <c r="K396" s="19" t="s">
        <v>191</v>
      </c>
      <c r="L396" s="19">
        <v>1040</v>
      </c>
      <c r="M396" s="19" t="str">
        <f t="shared" si="40"/>
        <v>Radio 78545_UnitID_1040</v>
      </c>
      <c r="N396" s="55" t="s">
        <v>352</v>
      </c>
      <c r="P396" s="19" t="s">
        <v>754</v>
      </c>
      <c r="Q396" s="60">
        <f t="shared" si="41"/>
        <v>2.0416666666278616E-2</v>
      </c>
      <c r="R396" s="19" t="b">
        <v>1</v>
      </c>
      <c r="S396" s="19" t="b">
        <v>1</v>
      </c>
    </row>
    <row r="397" spans="1:22">
      <c r="A397" s="17">
        <v>41741.414837962962</v>
      </c>
      <c r="B397" s="18">
        <v>41741.414837962962</v>
      </c>
      <c r="C397" s="17">
        <v>41741.442199074074</v>
      </c>
      <c r="D397" s="18">
        <v>41741.442199074074</v>
      </c>
      <c r="E397" s="19">
        <v>94</v>
      </c>
      <c r="F397" s="57" t="s">
        <v>915</v>
      </c>
      <c r="G397" s="19" t="str">
        <f t="shared" si="39"/>
        <v>78685</v>
      </c>
      <c r="H397" s="19" t="s">
        <v>251</v>
      </c>
      <c r="I397" s="19" t="s">
        <v>252</v>
      </c>
      <c r="J397" s="19" t="s">
        <v>895</v>
      </c>
      <c r="K397" s="19" t="s">
        <v>191</v>
      </c>
      <c r="L397" s="19">
        <v>4120</v>
      </c>
      <c r="M397" s="19" t="str">
        <f t="shared" si="40"/>
        <v>Radio 78685_UnitID_4120</v>
      </c>
      <c r="N397" s="55" t="s">
        <v>916</v>
      </c>
      <c r="P397" s="19" t="s">
        <v>754</v>
      </c>
      <c r="Q397" s="60">
        <f t="shared" si="41"/>
        <v>2.73611111115315E-2</v>
      </c>
      <c r="R397" s="19" t="b">
        <v>1</v>
      </c>
      <c r="S397" s="19" t="b">
        <v>1</v>
      </c>
    </row>
    <row r="398" spans="1:22">
      <c r="A398" s="17">
        <v>41741.415231481478</v>
      </c>
      <c r="B398" s="18">
        <v>41741.415231481478</v>
      </c>
      <c r="C398" s="17">
        <v>41741.451979166668</v>
      </c>
      <c r="D398" s="18">
        <v>41741.451979166668</v>
      </c>
      <c r="E398" s="19">
        <v>94</v>
      </c>
      <c r="F398" s="57" t="s">
        <v>917</v>
      </c>
      <c r="G398" s="19" t="str">
        <f t="shared" si="39"/>
        <v>78553</v>
      </c>
      <c r="H398" s="19" t="s">
        <v>251</v>
      </c>
      <c r="I398" s="19" t="s">
        <v>252</v>
      </c>
      <c r="J398" s="19" t="s">
        <v>895</v>
      </c>
      <c r="K398" s="19" t="s">
        <v>191</v>
      </c>
      <c r="L398" s="19">
        <v>4130</v>
      </c>
      <c r="M398" s="19" t="str">
        <f t="shared" si="40"/>
        <v>Radio 78553_UnitID_4130</v>
      </c>
      <c r="N398" s="55" t="s">
        <v>916</v>
      </c>
      <c r="P398" s="19" t="s">
        <v>754</v>
      </c>
      <c r="Q398" s="60">
        <f t="shared" si="41"/>
        <v>3.6747685189766344E-2</v>
      </c>
      <c r="R398" s="19" t="b">
        <v>1</v>
      </c>
      <c r="S398" s="19" t="b">
        <v>1</v>
      </c>
    </row>
    <row r="399" spans="1:22">
      <c r="A399" s="17">
        <v>41741.415416666663</v>
      </c>
      <c r="B399" s="18">
        <v>41741.415416666663</v>
      </c>
      <c r="C399" s="17">
        <v>41741.477870370371</v>
      </c>
      <c r="D399" s="18">
        <v>41741.477870370371</v>
      </c>
      <c r="E399" s="19">
        <v>95</v>
      </c>
      <c r="F399" s="57" t="s">
        <v>918</v>
      </c>
      <c r="G399" s="19" t="str">
        <f t="shared" si="39"/>
        <v>78716</v>
      </c>
      <c r="H399" s="19" t="s">
        <v>251</v>
      </c>
      <c r="I399" s="19" t="s">
        <v>252</v>
      </c>
      <c r="J399" s="19" t="s">
        <v>895</v>
      </c>
      <c r="K399" s="19" t="s">
        <v>191</v>
      </c>
      <c r="L399" s="19">
        <v>1050</v>
      </c>
      <c r="M399" s="19" t="str">
        <f t="shared" si="40"/>
        <v>Radio 78716_UnitID_1050</v>
      </c>
      <c r="N399" s="55" t="s">
        <v>352</v>
      </c>
      <c r="P399" s="19" t="s">
        <v>754</v>
      </c>
      <c r="Q399" s="60">
        <f t="shared" si="41"/>
        <v>6.2453703707433306E-2</v>
      </c>
      <c r="R399" s="19" t="b">
        <v>1</v>
      </c>
      <c r="S399" s="19" t="b">
        <v>1</v>
      </c>
    </row>
    <row r="400" spans="1:22">
      <c r="A400" s="17">
        <v>41741.439756944441</v>
      </c>
      <c r="B400" s="18">
        <v>41741.439756944441</v>
      </c>
      <c r="C400" s="17">
        <v>41741.497337962966</v>
      </c>
      <c r="D400" s="18">
        <v>41741.497337962966</v>
      </c>
      <c r="E400" s="19">
        <v>96</v>
      </c>
      <c r="F400" s="57" t="s">
        <v>919</v>
      </c>
      <c r="G400" s="19" t="str">
        <f t="shared" si="39"/>
        <v>78680</v>
      </c>
      <c r="H400" s="19" t="s">
        <v>251</v>
      </c>
      <c r="I400" s="19" t="s">
        <v>252</v>
      </c>
      <c r="J400" s="19" t="s">
        <v>895</v>
      </c>
      <c r="K400" s="19" t="s">
        <v>191</v>
      </c>
      <c r="L400" s="19">
        <v>4550</v>
      </c>
      <c r="M400" s="19" t="str">
        <f t="shared" si="40"/>
        <v>Radio 78680_UnitID_4550</v>
      </c>
      <c r="N400" s="55" t="s">
        <v>898</v>
      </c>
      <c r="P400" s="19" t="s">
        <v>754</v>
      </c>
      <c r="Q400" s="60">
        <f t="shared" si="41"/>
        <v>5.7581018525524996E-2</v>
      </c>
      <c r="R400" s="19" t="b">
        <v>1</v>
      </c>
      <c r="S400" s="19" t="b">
        <v>1</v>
      </c>
    </row>
    <row r="401" spans="1:22">
      <c r="A401" s="17">
        <v>41741.450185185182</v>
      </c>
      <c r="B401" s="18">
        <v>41741.450185185182</v>
      </c>
      <c r="C401" s="17">
        <v>41741.497129629628</v>
      </c>
      <c r="D401" s="18">
        <v>41741.497129629628</v>
      </c>
      <c r="E401" s="19">
        <v>97</v>
      </c>
      <c r="F401" s="57" t="s">
        <v>920</v>
      </c>
      <c r="G401" s="19" t="str">
        <f t="shared" si="39"/>
        <v>78558</v>
      </c>
      <c r="H401" s="19" t="s">
        <v>251</v>
      </c>
      <c r="I401" s="19" t="s">
        <v>252</v>
      </c>
      <c r="J401" s="19" t="s">
        <v>895</v>
      </c>
      <c r="K401" s="19" t="s">
        <v>191</v>
      </c>
      <c r="L401" s="19">
        <v>1030</v>
      </c>
      <c r="M401" s="19" t="str">
        <f t="shared" si="40"/>
        <v>Radio 78558_UnitID_1030</v>
      </c>
      <c r="N401" s="55" t="s">
        <v>352</v>
      </c>
      <c r="P401" s="19" t="s">
        <v>754</v>
      </c>
      <c r="Q401" s="60">
        <f t="shared" si="41"/>
        <v>4.6944444446125999E-2</v>
      </c>
      <c r="R401" s="19" t="b">
        <v>1</v>
      </c>
      <c r="S401" s="19" t="b">
        <v>1</v>
      </c>
    </row>
    <row r="402" spans="1:22">
      <c r="A402" s="17">
        <v>41741.521412037036</v>
      </c>
      <c r="B402" s="18">
        <v>41741.521412037036</v>
      </c>
      <c r="C402" s="17">
        <v>41741.546493055554</v>
      </c>
      <c r="D402" s="18">
        <v>41741.546493055554</v>
      </c>
      <c r="E402" s="19">
        <v>98</v>
      </c>
      <c r="F402" s="57" t="s">
        <v>921</v>
      </c>
      <c r="G402" s="19" t="str">
        <f t="shared" si="39"/>
        <v>78555</v>
      </c>
      <c r="H402" s="19" t="s">
        <v>251</v>
      </c>
      <c r="I402" s="19" t="s">
        <v>252</v>
      </c>
      <c r="J402" s="19" t="s">
        <v>895</v>
      </c>
      <c r="K402" s="19" t="s">
        <v>191</v>
      </c>
      <c r="L402" s="19">
        <v>1070</v>
      </c>
      <c r="M402" s="19" t="str">
        <f t="shared" si="40"/>
        <v>Radio 78555_UnitID_1070</v>
      </c>
      <c r="N402" s="55" t="s">
        <v>352</v>
      </c>
      <c r="P402" s="19" t="s">
        <v>754</v>
      </c>
      <c r="Q402" s="60">
        <f t="shared" si="41"/>
        <v>2.5081018517084885E-2</v>
      </c>
      <c r="R402" s="19" t="b">
        <v>1</v>
      </c>
      <c r="S402" s="19" t="b">
        <v>1</v>
      </c>
    </row>
    <row r="403" spans="1:22">
      <c r="A403" s="17">
        <v>41741.521631944444</v>
      </c>
      <c r="B403" s="18">
        <v>41741.521631944444</v>
      </c>
      <c r="C403" s="17">
        <v>41741.549097222225</v>
      </c>
      <c r="D403" s="18">
        <v>41741.549097222225</v>
      </c>
      <c r="E403" s="19">
        <v>99</v>
      </c>
      <c r="F403" s="57" t="s">
        <v>922</v>
      </c>
      <c r="G403" s="19" t="str">
        <f t="shared" si="39"/>
        <v>78723</v>
      </c>
      <c r="H403" s="19" t="s">
        <v>251</v>
      </c>
      <c r="I403" s="19" t="s">
        <v>252</v>
      </c>
      <c r="J403" s="19" t="s">
        <v>895</v>
      </c>
      <c r="K403" s="19" t="s">
        <v>191</v>
      </c>
      <c r="L403" s="19">
        <v>1090</v>
      </c>
      <c r="M403" s="19" t="str">
        <f t="shared" si="40"/>
        <v>Radio 78723_UnitID_1090</v>
      </c>
      <c r="N403" s="55" t="s">
        <v>352</v>
      </c>
      <c r="P403" s="19" t="s">
        <v>754</v>
      </c>
      <c r="Q403" s="60">
        <f t="shared" si="41"/>
        <v>2.7465277780720498E-2</v>
      </c>
      <c r="R403" s="19" t="b">
        <v>1</v>
      </c>
      <c r="S403" s="19" t="b">
        <v>1</v>
      </c>
    </row>
    <row r="404" spans="1:22">
      <c r="A404" s="17">
        <v>41741.523379629631</v>
      </c>
      <c r="B404" s="18">
        <v>41741.523379629631</v>
      </c>
      <c r="C404" s="17">
        <v>41741.552465277775</v>
      </c>
      <c r="D404" s="18">
        <v>41741.552465277775</v>
      </c>
      <c r="E404" s="19">
        <v>100</v>
      </c>
      <c r="F404" s="57" t="s">
        <v>923</v>
      </c>
      <c r="G404" s="19" t="str">
        <f t="shared" si="39"/>
        <v>78648</v>
      </c>
      <c r="H404" s="19" t="s">
        <v>251</v>
      </c>
      <c r="I404" s="19" t="s">
        <v>252</v>
      </c>
      <c r="J404" s="19" t="s">
        <v>895</v>
      </c>
      <c r="K404" s="19" t="s">
        <v>191</v>
      </c>
      <c r="L404" s="19">
        <v>4030</v>
      </c>
      <c r="M404" s="19" t="str">
        <f t="shared" si="40"/>
        <v>Radio 78648_UnitID_4030</v>
      </c>
      <c r="N404" s="55" t="s">
        <v>898</v>
      </c>
      <c r="P404" s="19" t="s">
        <v>754</v>
      </c>
      <c r="Q404" s="60">
        <f t="shared" si="41"/>
        <v>2.9085648144246079E-2</v>
      </c>
      <c r="R404" s="19" t="b">
        <v>1</v>
      </c>
      <c r="S404" s="19" t="b">
        <v>1</v>
      </c>
    </row>
    <row r="405" spans="1:22">
      <c r="A405" s="17">
        <v>41741.578634259262</v>
      </c>
      <c r="B405" s="18">
        <v>41741.578634259262</v>
      </c>
      <c r="C405" s="17">
        <v>41741.596666666665</v>
      </c>
      <c r="D405" s="18">
        <v>41741.596666666665</v>
      </c>
      <c r="E405" s="19">
        <v>101</v>
      </c>
      <c r="F405" s="57" t="s">
        <v>924</v>
      </c>
      <c r="G405" s="19" t="str">
        <f t="shared" si="39"/>
        <v>78591</v>
      </c>
      <c r="H405" s="19" t="s">
        <v>251</v>
      </c>
      <c r="I405" s="19" t="s">
        <v>252</v>
      </c>
      <c r="J405" s="19" t="s">
        <v>895</v>
      </c>
      <c r="K405" s="19" t="s">
        <v>191</v>
      </c>
      <c r="L405" s="19">
        <v>1470</v>
      </c>
      <c r="M405" s="19" t="str">
        <f t="shared" si="40"/>
        <v>Radio 78591_UnitID_1470</v>
      </c>
      <c r="N405" s="55" t="s">
        <v>352</v>
      </c>
      <c r="P405" s="19" t="s">
        <v>754</v>
      </c>
      <c r="Q405" s="60">
        <f t="shared" si="41"/>
        <v>1.8032407402643003E-2</v>
      </c>
      <c r="R405" s="19" t="b">
        <v>1</v>
      </c>
      <c r="S405" s="19" t="b">
        <v>1</v>
      </c>
    </row>
    <row r="406" spans="1:22">
      <c r="A406" s="17">
        <v>41741.579074074078</v>
      </c>
      <c r="B406" s="18">
        <v>41741.579074074078</v>
      </c>
      <c r="C406" s="17">
        <v>41741.603807870371</v>
      </c>
      <c r="D406" s="18">
        <v>41741.603807870371</v>
      </c>
      <c r="E406" s="19">
        <v>102</v>
      </c>
      <c r="F406" s="57" t="s">
        <v>925</v>
      </c>
      <c r="G406" s="19" t="str">
        <f t="shared" si="39"/>
        <v>75018</v>
      </c>
      <c r="H406" s="19" t="s">
        <v>251</v>
      </c>
      <c r="I406" s="19" t="s">
        <v>252</v>
      </c>
      <c r="J406" s="19" t="s">
        <v>895</v>
      </c>
      <c r="K406" s="19" t="s">
        <v>191</v>
      </c>
      <c r="L406" s="19">
        <v>1400</v>
      </c>
      <c r="M406" s="19" t="str">
        <f t="shared" si="40"/>
        <v>Radio 75018_UnitID_1400</v>
      </c>
      <c r="N406" s="55" t="s">
        <v>352</v>
      </c>
      <c r="P406" s="19" t="s">
        <v>754</v>
      </c>
      <c r="Q406" s="60">
        <f t="shared" si="41"/>
        <v>2.4733796293730848E-2</v>
      </c>
      <c r="R406" s="19" t="b">
        <v>1</v>
      </c>
      <c r="S406" s="19" t="b">
        <v>1</v>
      </c>
    </row>
    <row r="407" spans="1:22">
      <c r="A407" s="17">
        <v>41743.321458333332</v>
      </c>
      <c r="B407" s="18">
        <v>41743.321458333332</v>
      </c>
      <c r="C407" s="17">
        <v>41743.351458333331</v>
      </c>
      <c r="D407" s="18">
        <v>41743.351458333331</v>
      </c>
      <c r="E407" s="19">
        <v>103</v>
      </c>
      <c r="F407" s="57" t="s">
        <v>1371</v>
      </c>
      <c r="G407" s="19" t="str">
        <f t="shared" ref="G407:G437" si="42">RIGHT(F407,5)</f>
        <v>78573</v>
      </c>
      <c r="H407" s="19" t="s">
        <v>251</v>
      </c>
      <c r="I407" s="19" t="s">
        <v>252</v>
      </c>
      <c r="J407" s="19" t="s">
        <v>895</v>
      </c>
      <c r="K407" s="19" t="s">
        <v>191</v>
      </c>
      <c r="L407" s="19">
        <v>2600</v>
      </c>
      <c r="M407" s="19" t="str">
        <f t="shared" ref="M407:M437" si="43">CONCATENATE("Radio ",G407,"_UnitID_",L407)</f>
        <v>Radio 78573_UnitID_2600</v>
      </c>
      <c r="N407" s="55" t="s">
        <v>1372</v>
      </c>
      <c r="P407" s="19" t="s">
        <v>770</v>
      </c>
      <c r="Q407" s="60">
        <f t="shared" ref="Q407:Q437" si="44">IF(D407-B407 &gt; 2,((D407-B407)-1.7),IF(D407-B407 &gt; 1,(D407-B407)-0.7,IF(D407-B407 &gt; 0.5,(D407-B407)-0.7,(D407-B407))))</f>
        <v>2.9999999998835847E-2</v>
      </c>
      <c r="R407" s="19" t="b">
        <v>1</v>
      </c>
      <c r="S407" s="19" t="b">
        <v>1</v>
      </c>
    </row>
    <row r="408" spans="1:22">
      <c r="A408" s="17">
        <v>41743.321817129632</v>
      </c>
      <c r="B408" s="18">
        <v>41743.321817129632</v>
      </c>
      <c r="C408" s="17">
        <v>41743.388194444444</v>
      </c>
      <c r="D408" s="18">
        <v>41743.388194444444</v>
      </c>
      <c r="E408" s="19">
        <v>103</v>
      </c>
      <c r="F408" s="57" t="s">
        <v>1373</v>
      </c>
      <c r="G408" s="19" t="str">
        <f t="shared" si="42"/>
        <v>78624</v>
      </c>
      <c r="H408" s="19" t="s">
        <v>251</v>
      </c>
      <c r="I408" s="19" t="s">
        <v>252</v>
      </c>
      <c r="J408" s="19" t="s">
        <v>895</v>
      </c>
      <c r="K408" s="19" t="s">
        <v>191</v>
      </c>
      <c r="L408" s="19">
        <v>2610</v>
      </c>
      <c r="M408" s="19" t="str">
        <f t="shared" si="43"/>
        <v>Radio 78624_UnitID_2610</v>
      </c>
      <c r="N408" s="55" t="s">
        <v>1372</v>
      </c>
      <c r="P408" s="19" t="s">
        <v>754</v>
      </c>
      <c r="Q408" s="60">
        <f t="shared" si="44"/>
        <v>6.6377314811688848E-2</v>
      </c>
      <c r="R408" s="19" t="b">
        <v>1</v>
      </c>
      <c r="S408" s="19" t="b">
        <v>1</v>
      </c>
    </row>
    <row r="409" spans="1:22">
      <c r="A409" s="17">
        <v>41743.324247685188</v>
      </c>
      <c r="B409" s="18">
        <v>41743.324247685188</v>
      </c>
      <c r="C409" s="17">
        <v>41743.351597222223</v>
      </c>
      <c r="D409" s="18">
        <v>41743.351597222223</v>
      </c>
      <c r="E409" s="19">
        <v>104</v>
      </c>
      <c r="F409" s="57" t="s">
        <v>1374</v>
      </c>
      <c r="G409" s="19" t="str">
        <f t="shared" si="42"/>
        <v>77824</v>
      </c>
      <c r="H409" s="19" t="s">
        <v>251</v>
      </c>
      <c r="I409" s="19" t="s">
        <v>252</v>
      </c>
      <c r="J409" s="19" t="s">
        <v>895</v>
      </c>
      <c r="K409" s="19" t="s">
        <v>191</v>
      </c>
      <c r="L409" s="19">
        <v>2910</v>
      </c>
      <c r="M409" s="19" t="str">
        <f t="shared" si="43"/>
        <v>Radio 77824_UnitID_2910</v>
      </c>
      <c r="N409" s="55" t="s">
        <v>1375</v>
      </c>
      <c r="P409" s="19" t="s">
        <v>754</v>
      </c>
      <c r="Q409" s="60">
        <f t="shared" si="44"/>
        <v>2.7349537034751847E-2</v>
      </c>
      <c r="R409" s="19" t="b">
        <v>1</v>
      </c>
      <c r="S409" s="19" t="b">
        <v>1</v>
      </c>
    </row>
    <row r="410" spans="1:22">
      <c r="A410" s="17">
        <v>41743.327743055554</v>
      </c>
      <c r="B410" s="18">
        <v>41743.327743055554</v>
      </c>
      <c r="C410" s="17">
        <v>41743.388368055559</v>
      </c>
      <c r="D410" s="18">
        <v>41743.388368055559</v>
      </c>
      <c r="E410" s="19">
        <v>105</v>
      </c>
      <c r="F410" s="57" t="s">
        <v>1376</v>
      </c>
      <c r="G410" s="19" t="str">
        <f t="shared" si="42"/>
        <v>76237</v>
      </c>
      <c r="H410" s="19" t="s">
        <v>251</v>
      </c>
      <c r="I410" s="19" t="s">
        <v>252</v>
      </c>
      <c r="J410" s="19" t="s">
        <v>895</v>
      </c>
      <c r="K410" s="19" t="s">
        <v>191</v>
      </c>
      <c r="L410" s="19">
        <v>1210</v>
      </c>
      <c r="M410" s="19" t="str">
        <f t="shared" si="43"/>
        <v>Radio 76237_UnitID_1210</v>
      </c>
      <c r="N410" s="55" t="s">
        <v>352</v>
      </c>
      <c r="P410" s="19" t="s">
        <v>754</v>
      </c>
      <c r="Q410" s="60">
        <f t="shared" si="44"/>
        <v>6.0625000005529728E-2</v>
      </c>
      <c r="R410" s="19" t="b">
        <v>1</v>
      </c>
      <c r="S410" s="19" t="b">
        <v>1</v>
      </c>
    </row>
    <row r="411" spans="1:22">
      <c r="A411" s="17">
        <v>41743.334351851852</v>
      </c>
      <c r="B411" s="18">
        <v>41743.334351851852</v>
      </c>
      <c r="C411" s="17">
        <v>41743.373761574076</v>
      </c>
      <c r="D411" s="18">
        <v>41743.373761574076</v>
      </c>
      <c r="E411" s="19">
        <v>106</v>
      </c>
      <c r="F411" s="57" t="s">
        <v>1377</v>
      </c>
      <c r="G411" s="19" t="str">
        <f t="shared" si="42"/>
        <v>78651</v>
      </c>
      <c r="H411" s="19" t="s">
        <v>251</v>
      </c>
      <c r="I411" s="19" t="s">
        <v>252</v>
      </c>
      <c r="J411" s="19" t="s">
        <v>895</v>
      </c>
      <c r="K411" s="19" t="s">
        <v>191</v>
      </c>
      <c r="L411" s="19">
        <v>1250</v>
      </c>
      <c r="M411" s="19" t="str">
        <f t="shared" si="43"/>
        <v>Radio 78651_UnitID_1250</v>
      </c>
      <c r="N411" s="55" t="s">
        <v>352</v>
      </c>
      <c r="P411" s="19" t="s">
        <v>754</v>
      </c>
      <c r="Q411" s="60">
        <f t="shared" si="44"/>
        <v>3.9409722223354038E-2</v>
      </c>
      <c r="R411" s="19" t="b">
        <v>1</v>
      </c>
      <c r="S411" s="19" t="b">
        <v>1</v>
      </c>
    </row>
    <row r="412" spans="1:22">
      <c r="A412" s="17">
        <v>41743.345127314817</v>
      </c>
      <c r="B412" s="18">
        <v>41743.345127314817</v>
      </c>
      <c r="C412" s="17">
        <v>41743.387372685182</v>
      </c>
      <c r="D412" s="18">
        <v>41743.387372685182</v>
      </c>
      <c r="E412" s="19">
        <v>107</v>
      </c>
      <c r="F412" s="57" t="s">
        <v>1378</v>
      </c>
      <c r="G412" s="19" t="str">
        <f t="shared" si="42"/>
        <v>78709</v>
      </c>
      <c r="H412" s="19" t="s">
        <v>251</v>
      </c>
      <c r="I412" s="19" t="s">
        <v>252</v>
      </c>
      <c r="J412" s="19" t="s">
        <v>895</v>
      </c>
      <c r="K412" s="19" t="s">
        <v>191</v>
      </c>
      <c r="L412" s="19">
        <v>1620</v>
      </c>
      <c r="M412" s="19" t="str">
        <f t="shared" si="43"/>
        <v>Radio 78709_UnitID_1620</v>
      </c>
      <c r="N412" s="55" t="s">
        <v>352</v>
      </c>
      <c r="P412" s="19" t="s">
        <v>754</v>
      </c>
      <c r="Q412" s="60">
        <f t="shared" si="44"/>
        <v>4.2245370364980772E-2</v>
      </c>
      <c r="R412" s="19" t="b">
        <v>1</v>
      </c>
      <c r="S412" s="19" t="b">
        <v>1</v>
      </c>
      <c r="V412" s="19" t="s">
        <v>1382</v>
      </c>
    </row>
    <row r="413" spans="1:22">
      <c r="A413" s="17">
        <v>41743.359513888892</v>
      </c>
      <c r="B413" s="18">
        <v>41743.359513888892</v>
      </c>
      <c r="C413" s="17">
        <v>41743.397685185184</v>
      </c>
      <c r="D413" s="18">
        <v>41743.397685185184</v>
      </c>
      <c r="E413" s="19">
        <v>108</v>
      </c>
      <c r="F413" s="57" t="s">
        <v>1379</v>
      </c>
      <c r="G413" s="19" t="str">
        <f t="shared" si="42"/>
        <v>78664</v>
      </c>
      <c r="H413" s="19" t="s">
        <v>251</v>
      </c>
      <c r="I413" s="19" t="s">
        <v>252</v>
      </c>
      <c r="J413" s="19" t="s">
        <v>895</v>
      </c>
      <c r="K413" s="19" t="s">
        <v>191</v>
      </c>
      <c r="L413" s="19">
        <v>1020</v>
      </c>
      <c r="M413" s="19" t="str">
        <f t="shared" si="43"/>
        <v>Radio 78664_UnitID_1020</v>
      </c>
      <c r="N413" s="55" t="s">
        <v>352</v>
      </c>
      <c r="P413" s="19" t="s">
        <v>754</v>
      </c>
      <c r="Q413" s="60">
        <f t="shared" si="44"/>
        <v>3.8171296291693579E-2</v>
      </c>
      <c r="R413" s="19" t="b">
        <v>1</v>
      </c>
      <c r="S413" s="19" t="b">
        <v>1</v>
      </c>
    </row>
    <row r="414" spans="1:22">
      <c r="A414" s="17">
        <v>41743.364432870374</v>
      </c>
      <c r="B414" s="18">
        <v>41743.364432870374</v>
      </c>
      <c r="C414" s="17">
        <v>41743.3987037037</v>
      </c>
      <c r="D414" s="18">
        <v>41743.3987037037</v>
      </c>
      <c r="E414" s="19">
        <v>109</v>
      </c>
      <c r="F414" s="57" t="s">
        <v>1380</v>
      </c>
      <c r="G414" s="19" t="str">
        <f t="shared" si="42"/>
        <v>78676</v>
      </c>
      <c r="H414" s="19" t="s">
        <v>251</v>
      </c>
      <c r="I414" s="19" t="s">
        <v>252</v>
      </c>
      <c r="J414" s="19" t="s">
        <v>895</v>
      </c>
      <c r="K414" s="19" t="s">
        <v>191</v>
      </c>
      <c r="L414" s="19">
        <v>1062</v>
      </c>
      <c r="M414" s="19" t="str">
        <f t="shared" si="43"/>
        <v>Radio 78676_UnitID_1062</v>
      </c>
      <c r="N414" s="55" t="s">
        <v>352</v>
      </c>
      <c r="P414" s="19" t="s">
        <v>1381</v>
      </c>
      <c r="Q414" s="60">
        <f t="shared" si="44"/>
        <v>3.4270833326445427E-2</v>
      </c>
      <c r="R414" s="19" t="b">
        <v>1</v>
      </c>
      <c r="S414" s="19" t="b">
        <v>1</v>
      </c>
    </row>
    <row r="415" spans="1:22">
      <c r="A415" s="17">
        <v>41743.392974537041</v>
      </c>
      <c r="B415" s="18">
        <v>41743.392974537041</v>
      </c>
      <c r="C415" s="17">
        <v>41743.417997685188</v>
      </c>
      <c r="D415" s="18">
        <v>41743.417997685188</v>
      </c>
      <c r="E415" s="19">
        <v>110</v>
      </c>
      <c r="F415" s="57" t="s">
        <v>1383</v>
      </c>
      <c r="G415" s="19" t="str">
        <f t="shared" si="42"/>
        <v>78650</v>
      </c>
      <c r="H415" s="19" t="s">
        <v>251</v>
      </c>
      <c r="I415" s="19" t="s">
        <v>252</v>
      </c>
      <c r="J415" s="19" t="s">
        <v>895</v>
      </c>
      <c r="K415" s="19" t="s">
        <v>191</v>
      </c>
      <c r="L415" s="19">
        <v>1430</v>
      </c>
      <c r="M415" s="19" t="str">
        <f t="shared" si="43"/>
        <v>Radio 78650_UnitID_1430</v>
      </c>
      <c r="N415" s="55" t="s">
        <v>352</v>
      </c>
      <c r="P415" s="19" t="s">
        <v>754</v>
      </c>
      <c r="Q415" s="60">
        <f t="shared" si="44"/>
        <v>2.5023148147738539E-2</v>
      </c>
      <c r="R415" s="19" t="b">
        <v>1</v>
      </c>
      <c r="S415" s="19" t="b">
        <v>1</v>
      </c>
    </row>
    <row r="416" spans="1:22">
      <c r="A416" s="17">
        <v>41743.407604166663</v>
      </c>
      <c r="B416" s="18">
        <v>41743.407604166663</v>
      </c>
      <c r="C416" s="17">
        <v>41743.463263888887</v>
      </c>
      <c r="D416" s="18">
        <v>41743.463263888887</v>
      </c>
      <c r="E416" s="19">
        <v>111</v>
      </c>
      <c r="F416" s="57" t="s">
        <v>1384</v>
      </c>
      <c r="G416" s="19" t="str">
        <f t="shared" si="42"/>
        <v>78708</v>
      </c>
      <c r="H416" s="19" t="s">
        <v>251</v>
      </c>
      <c r="I416" s="19" t="s">
        <v>252</v>
      </c>
      <c r="J416" s="19" t="s">
        <v>895</v>
      </c>
      <c r="K416" s="19" t="s">
        <v>191</v>
      </c>
      <c r="L416" s="19">
        <v>4320</v>
      </c>
      <c r="M416" s="19" t="str">
        <f t="shared" si="43"/>
        <v>Radio 78708_UnitID_4320</v>
      </c>
      <c r="N416" s="55" t="s">
        <v>220</v>
      </c>
      <c r="P416" s="19" t="s">
        <v>754</v>
      </c>
      <c r="Q416" s="60">
        <f t="shared" si="44"/>
        <v>5.5659722223936114E-2</v>
      </c>
      <c r="R416" s="19" t="b">
        <v>1</v>
      </c>
      <c r="S416" s="19" t="b">
        <v>1</v>
      </c>
      <c r="V416" s="19" t="s">
        <v>28</v>
      </c>
    </row>
    <row r="417" spans="1:19">
      <c r="A417" s="17">
        <v>41743.408055555556</v>
      </c>
      <c r="B417" s="18">
        <v>41743.408055555556</v>
      </c>
      <c r="C417" s="17">
        <v>41743.474502314813</v>
      </c>
      <c r="D417" s="18">
        <v>41743.474502314813</v>
      </c>
      <c r="E417" s="19">
        <v>111</v>
      </c>
      <c r="F417" s="57" t="s">
        <v>1385</v>
      </c>
      <c r="G417" s="19" t="str">
        <f t="shared" si="42"/>
        <v>77825</v>
      </c>
      <c r="H417" s="19" t="s">
        <v>251</v>
      </c>
      <c r="I417" s="19" t="s">
        <v>252</v>
      </c>
      <c r="J417" s="19" t="s">
        <v>895</v>
      </c>
      <c r="K417" s="19" t="s">
        <v>191</v>
      </c>
      <c r="L417" s="19">
        <v>4390</v>
      </c>
      <c r="M417" s="19" t="str">
        <f t="shared" si="43"/>
        <v>Radio 77825_UnitID_4390</v>
      </c>
      <c r="N417" s="55" t="s">
        <v>220</v>
      </c>
      <c r="P417" s="19" t="s">
        <v>772</v>
      </c>
      <c r="Q417" s="60">
        <f t="shared" si="44"/>
        <v>6.6446759257814847E-2</v>
      </c>
      <c r="R417" s="19" t="b">
        <v>1</v>
      </c>
      <c r="S417" s="19" t="b">
        <v>1</v>
      </c>
    </row>
    <row r="418" spans="1:19">
      <c r="A418" s="17">
        <v>41743.408391203702</v>
      </c>
      <c r="B418" s="18">
        <v>41743.408391203702</v>
      </c>
      <c r="C418" s="17">
        <v>41743.474606481483</v>
      </c>
      <c r="D418" s="18">
        <v>41743.474606481483</v>
      </c>
      <c r="E418" s="19">
        <v>111</v>
      </c>
      <c r="F418" s="57" t="s">
        <v>1386</v>
      </c>
      <c r="G418" s="19" t="str">
        <f t="shared" si="42"/>
        <v>77819</v>
      </c>
      <c r="H418" s="19" t="s">
        <v>251</v>
      </c>
      <c r="I418" s="19" t="s">
        <v>252</v>
      </c>
      <c r="J418" s="19" t="s">
        <v>895</v>
      </c>
      <c r="K418" s="19" t="s">
        <v>191</v>
      </c>
      <c r="L418" s="19">
        <v>4340</v>
      </c>
      <c r="M418" s="19" t="str">
        <f t="shared" si="43"/>
        <v>Radio 77819_UnitID_4340</v>
      </c>
      <c r="N418" s="55" t="s">
        <v>220</v>
      </c>
      <c r="P418" s="19" t="s">
        <v>754</v>
      </c>
      <c r="Q418" s="60">
        <f t="shared" si="44"/>
        <v>6.621527778042946E-2</v>
      </c>
      <c r="R418" s="19" t="b">
        <v>1</v>
      </c>
      <c r="S418" s="19" t="b">
        <v>1</v>
      </c>
    </row>
    <row r="419" spans="1:19">
      <c r="A419" s="17">
        <v>41743.40865740741</v>
      </c>
      <c r="B419" s="18">
        <v>41743.40865740741</v>
      </c>
      <c r="C419" s="17">
        <v>41743.46398148148</v>
      </c>
      <c r="D419" s="18">
        <v>41743.46398148148</v>
      </c>
      <c r="E419" s="19">
        <v>111</v>
      </c>
      <c r="F419" s="57" t="s">
        <v>1387</v>
      </c>
      <c r="G419" s="19" t="str">
        <f t="shared" si="42"/>
        <v>78560</v>
      </c>
      <c r="H419" s="19" t="s">
        <v>251</v>
      </c>
      <c r="I419" s="19" t="s">
        <v>252</v>
      </c>
      <c r="J419" s="19" t="s">
        <v>895</v>
      </c>
      <c r="K419" s="19" t="s">
        <v>191</v>
      </c>
      <c r="L419" s="19">
        <v>4330</v>
      </c>
      <c r="M419" s="19" t="str">
        <f t="shared" si="43"/>
        <v>Radio 78560_UnitID_4330</v>
      </c>
      <c r="N419" s="55" t="s">
        <v>220</v>
      </c>
      <c r="P419" s="19" t="s">
        <v>754</v>
      </c>
      <c r="Q419" s="60">
        <f t="shared" si="44"/>
        <v>5.5324074070085771E-2</v>
      </c>
      <c r="R419" s="19" t="b">
        <v>1</v>
      </c>
      <c r="S419" s="19" t="b">
        <v>1</v>
      </c>
    </row>
    <row r="420" spans="1:19">
      <c r="A420" s="17">
        <v>41743.40892361111</v>
      </c>
      <c r="B420" s="18">
        <v>41743.40892361111</v>
      </c>
      <c r="C420" s="17">
        <v>41743.444421296299</v>
      </c>
      <c r="D420" s="18">
        <v>41743.444421296299</v>
      </c>
      <c r="E420" s="19">
        <v>111</v>
      </c>
      <c r="F420" s="57" t="s">
        <v>1388</v>
      </c>
      <c r="G420" s="19" t="str">
        <f t="shared" si="42"/>
        <v>67648</v>
      </c>
      <c r="H420" s="19" t="s">
        <v>251</v>
      </c>
      <c r="I420" s="19" t="s">
        <v>252</v>
      </c>
      <c r="J420" s="19" t="s">
        <v>895</v>
      </c>
      <c r="K420" s="19" t="s">
        <v>191</v>
      </c>
      <c r="L420" s="19">
        <v>4350</v>
      </c>
      <c r="M420" s="19" t="str">
        <f t="shared" si="43"/>
        <v>Radio 67648_UnitID_4350</v>
      </c>
      <c r="N420" s="55" t="s">
        <v>220</v>
      </c>
      <c r="P420" s="19" t="s">
        <v>754</v>
      </c>
      <c r="Q420" s="60">
        <f t="shared" si="44"/>
        <v>3.549768518860219E-2</v>
      </c>
      <c r="R420" s="19" t="b">
        <v>1</v>
      </c>
      <c r="S420" s="19" t="b">
        <v>1</v>
      </c>
    </row>
    <row r="421" spans="1:19">
      <c r="A421" s="17">
        <v>41743.430381944447</v>
      </c>
      <c r="B421" s="18">
        <v>41743.430381944447</v>
      </c>
      <c r="C421" s="17">
        <v>41743.534490740742</v>
      </c>
      <c r="D421" s="18">
        <v>41743.534490740742</v>
      </c>
      <c r="E421" s="19">
        <v>112</v>
      </c>
      <c r="F421" s="57" t="s">
        <v>1389</v>
      </c>
      <c r="G421" s="19" t="str">
        <f t="shared" si="42"/>
        <v>78687</v>
      </c>
      <c r="H421" s="19" t="s">
        <v>251</v>
      </c>
      <c r="I421" s="19" t="s">
        <v>252</v>
      </c>
      <c r="J421" s="19" t="s">
        <v>895</v>
      </c>
      <c r="K421" s="19" t="s">
        <v>191</v>
      </c>
      <c r="L421" s="19">
        <v>1330</v>
      </c>
      <c r="M421" s="19" t="str">
        <f t="shared" si="43"/>
        <v>Radio 78687_UnitID_1330</v>
      </c>
      <c r="N421" s="55" t="s">
        <v>352</v>
      </c>
      <c r="P421" s="19" t="s">
        <v>754</v>
      </c>
      <c r="Q421" s="60">
        <f t="shared" si="44"/>
        <v>0.104108796294895</v>
      </c>
      <c r="R421" s="19" t="b">
        <v>1</v>
      </c>
      <c r="S421" s="19" t="b">
        <v>1</v>
      </c>
    </row>
    <row r="422" spans="1:19">
      <c r="A422" s="17">
        <v>41743.430902777778</v>
      </c>
      <c r="B422" s="18">
        <v>41743.430902777778</v>
      </c>
      <c r="C422" s="17">
        <v>41743.530532407407</v>
      </c>
      <c r="D422" s="18">
        <v>41743.530532407407</v>
      </c>
      <c r="E422" s="19">
        <v>112</v>
      </c>
      <c r="F422" s="57" t="s">
        <v>1390</v>
      </c>
      <c r="G422" s="19" t="str">
        <f t="shared" si="42"/>
        <v>78579</v>
      </c>
      <c r="H422" s="19" t="s">
        <v>251</v>
      </c>
      <c r="I422" s="19" t="s">
        <v>252</v>
      </c>
      <c r="J422" s="19" t="s">
        <v>895</v>
      </c>
      <c r="K422" s="19" t="s">
        <v>191</v>
      </c>
      <c r="L422" s="19">
        <v>1140</v>
      </c>
      <c r="M422" s="19" t="str">
        <f t="shared" si="43"/>
        <v>Radio 78579_UnitID_1140</v>
      </c>
      <c r="N422" s="55" t="s">
        <v>352</v>
      </c>
      <c r="P422" s="19" t="s">
        <v>754</v>
      </c>
      <c r="Q422" s="60">
        <f t="shared" si="44"/>
        <v>9.9629629628907423E-2</v>
      </c>
      <c r="R422" s="19" t="b">
        <v>1</v>
      </c>
      <c r="S422" s="19" t="b">
        <v>1</v>
      </c>
    </row>
    <row r="423" spans="1:19">
      <c r="A423" s="17">
        <v>41743.431180555555</v>
      </c>
      <c r="B423" s="18">
        <v>41743.431180555555</v>
      </c>
      <c r="C423" s="17">
        <v>41743.530624999999</v>
      </c>
      <c r="D423" s="18">
        <v>41743.530624999999</v>
      </c>
      <c r="E423" s="19">
        <v>113</v>
      </c>
      <c r="F423" s="57" t="s">
        <v>1391</v>
      </c>
      <c r="G423" s="19" t="str">
        <f t="shared" si="42"/>
        <v>75060</v>
      </c>
      <c r="H423" s="19" t="s">
        <v>251</v>
      </c>
      <c r="I423" s="19" t="s">
        <v>252</v>
      </c>
      <c r="J423" s="19" t="s">
        <v>895</v>
      </c>
      <c r="K423" s="19" t="s">
        <v>191</v>
      </c>
      <c r="L423" s="19">
        <v>1130</v>
      </c>
      <c r="M423" s="19" t="str">
        <f t="shared" si="43"/>
        <v>Radio 75060_UnitID_1130</v>
      </c>
      <c r="N423" s="55" t="s">
        <v>352</v>
      </c>
      <c r="P423" s="19" t="s">
        <v>754</v>
      </c>
      <c r="Q423" s="60">
        <f t="shared" si="44"/>
        <v>9.9444444444088731E-2</v>
      </c>
      <c r="R423" s="19" t="b">
        <v>1</v>
      </c>
      <c r="S423" s="19" t="b">
        <v>1</v>
      </c>
    </row>
    <row r="424" spans="1:19">
      <c r="A424" s="17">
        <v>41743.433182870373</v>
      </c>
      <c r="B424" s="18">
        <v>41743.433182870373</v>
      </c>
      <c r="C424" s="17">
        <v>41743.55363425926</v>
      </c>
      <c r="D424" s="18">
        <v>41743.55363425926</v>
      </c>
      <c r="E424" s="19">
        <v>114</v>
      </c>
      <c r="F424" s="57" t="s">
        <v>1392</v>
      </c>
      <c r="G424" s="19" t="str">
        <f t="shared" si="42"/>
        <v>78556</v>
      </c>
      <c r="H424" s="19" t="s">
        <v>251</v>
      </c>
      <c r="I424" s="19" t="s">
        <v>252</v>
      </c>
      <c r="J424" s="19" t="s">
        <v>895</v>
      </c>
      <c r="K424" s="19" t="s">
        <v>191</v>
      </c>
      <c r="L424" s="19">
        <v>6120</v>
      </c>
      <c r="M424" s="19" t="str">
        <f t="shared" si="43"/>
        <v>Radio 78556_UnitID_6120</v>
      </c>
      <c r="N424" s="55" t="s">
        <v>592</v>
      </c>
      <c r="P424" s="19" t="s">
        <v>770</v>
      </c>
      <c r="Q424" s="60">
        <f t="shared" si="44"/>
        <v>0.12045138888788642</v>
      </c>
      <c r="R424" s="19" t="b">
        <v>1</v>
      </c>
      <c r="S424" s="19" t="b">
        <v>1</v>
      </c>
    </row>
    <row r="425" spans="1:19">
      <c r="A425" s="17">
        <v>41743.437685185185</v>
      </c>
      <c r="B425" s="18">
        <v>41743.437685185185</v>
      </c>
      <c r="C425" s="17">
        <v>41743.556967592594</v>
      </c>
      <c r="D425" s="18">
        <v>41743.556967592594</v>
      </c>
      <c r="E425" s="19">
        <v>114</v>
      </c>
      <c r="F425" s="57" t="s">
        <v>1393</v>
      </c>
      <c r="G425" s="19" t="str">
        <f t="shared" si="42"/>
        <v>78733</v>
      </c>
      <c r="H425" s="19" t="s">
        <v>251</v>
      </c>
      <c r="I425" s="19" t="s">
        <v>252</v>
      </c>
      <c r="J425" s="19" t="s">
        <v>895</v>
      </c>
      <c r="K425" s="19" t="s">
        <v>191</v>
      </c>
      <c r="L425" s="19">
        <v>6181</v>
      </c>
      <c r="M425" s="19" t="str">
        <f t="shared" si="43"/>
        <v>Radio 78733_UnitID_6181</v>
      </c>
      <c r="N425" s="55" t="s">
        <v>592</v>
      </c>
      <c r="P425" s="19" t="s">
        <v>770</v>
      </c>
      <c r="Q425" s="60">
        <f t="shared" si="44"/>
        <v>0.11928240740962792</v>
      </c>
      <c r="R425" s="19" t="b">
        <v>1</v>
      </c>
      <c r="S425" s="19" t="b">
        <v>1</v>
      </c>
    </row>
    <row r="426" spans="1:19" ht="30">
      <c r="A426" s="17">
        <v>41743.439733796295</v>
      </c>
      <c r="B426" s="18">
        <v>41743.439733796295</v>
      </c>
      <c r="C426" s="17">
        <v>41743.475543981483</v>
      </c>
      <c r="D426" s="18">
        <v>41743.475543981483</v>
      </c>
      <c r="E426" s="19">
        <v>115</v>
      </c>
      <c r="F426" s="57" t="s">
        <v>1394</v>
      </c>
      <c r="G426" s="19" t="str">
        <f t="shared" si="42"/>
        <v>78499</v>
      </c>
      <c r="H426" s="19" t="s">
        <v>251</v>
      </c>
      <c r="I426" s="19" t="s">
        <v>252</v>
      </c>
      <c r="J426" s="19" t="s">
        <v>895</v>
      </c>
      <c r="K426" s="19" t="s">
        <v>191</v>
      </c>
      <c r="L426" s="19">
        <v>4050</v>
      </c>
      <c r="M426" s="19" t="str">
        <f t="shared" si="43"/>
        <v>Radio 78499_UnitID_4050</v>
      </c>
      <c r="N426" s="55" t="s">
        <v>545</v>
      </c>
      <c r="P426" s="19" t="s">
        <v>754</v>
      </c>
      <c r="Q426" s="60">
        <f t="shared" si="44"/>
        <v>3.5810185188893229E-2</v>
      </c>
      <c r="R426" s="19" t="b">
        <v>1</v>
      </c>
      <c r="S426" s="19" t="b">
        <v>1</v>
      </c>
    </row>
    <row r="427" spans="1:19">
      <c r="A427" s="17">
        <v>41743.52820601852</v>
      </c>
      <c r="B427" s="18">
        <v>41743.52820601852</v>
      </c>
      <c r="C427" s="17">
        <v>41743.551412037035</v>
      </c>
      <c r="D427" s="18">
        <v>41743.551412037035</v>
      </c>
      <c r="E427" s="19">
        <v>116</v>
      </c>
      <c r="F427" s="57" t="s">
        <v>1395</v>
      </c>
      <c r="G427" s="19" t="str">
        <f t="shared" si="42"/>
        <v>78627</v>
      </c>
      <c r="H427" s="19" t="s">
        <v>251</v>
      </c>
      <c r="I427" s="19" t="s">
        <v>252</v>
      </c>
      <c r="J427" s="19" t="s">
        <v>895</v>
      </c>
      <c r="K427" s="19" t="s">
        <v>191</v>
      </c>
      <c r="L427" s="19">
        <v>2980</v>
      </c>
      <c r="M427" s="19" t="str">
        <f t="shared" si="43"/>
        <v>Radio 78627_UnitID_2980</v>
      </c>
      <c r="N427" s="55" t="s">
        <v>352</v>
      </c>
      <c r="P427" s="19" t="s">
        <v>754</v>
      </c>
      <c r="Q427" s="60">
        <f t="shared" si="44"/>
        <v>2.3206018515338656E-2</v>
      </c>
      <c r="R427" s="19" t="b">
        <v>1</v>
      </c>
      <c r="S427" s="19" t="b">
        <v>1</v>
      </c>
    </row>
    <row r="428" spans="1:19">
      <c r="A428" s="17">
        <v>41743.539560185185</v>
      </c>
      <c r="B428" s="18">
        <v>41743.539560185185</v>
      </c>
      <c r="C428" s="17">
        <v>41743.57303240741</v>
      </c>
      <c r="D428" s="18">
        <v>41743.57303240741</v>
      </c>
      <c r="E428" s="19">
        <v>117</v>
      </c>
      <c r="F428" s="57" t="s">
        <v>1396</v>
      </c>
      <c r="G428" s="19" t="str">
        <f t="shared" si="42"/>
        <v>78594</v>
      </c>
      <c r="H428" s="19" t="s">
        <v>251</v>
      </c>
      <c r="I428" s="19" t="s">
        <v>252</v>
      </c>
      <c r="J428" s="19" t="s">
        <v>895</v>
      </c>
      <c r="K428" s="19" t="s">
        <v>191</v>
      </c>
      <c r="L428" s="19">
        <v>1230</v>
      </c>
      <c r="M428" s="19" t="str">
        <f t="shared" si="43"/>
        <v>Radio 78594_UnitID_1230</v>
      </c>
      <c r="N428" s="55" t="s">
        <v>352</v>
      </c>
      <c r="P428" s="19" t="s">
        <v>754</v>
      </c>
      <c r="Q428" s="60">
        <f t="shared" si="44"/>
        <v>3.3472222225100268E-2</v>
      </c>
      <c r="R428" s="19" t="b">
        <v>1</v>
      </c>
      <c r="S428" s="19" t="b">
        <v>1</v>
      </c>
    </row>
    <row r="429" spans="1:19">
      <c r="A429" s="17">
        <v>41743.539907407408</v>
      </c>
      <c r="B429" s="18">
        <v>41743.539907407408</v>
      </c>
      <c r="C429" s="17">
        <v>41743.583518518521</v>
      </c>
      <c r="D429" s="18">
        <v>41743.583518518521</v>
      </c>
      <c r="E429" s="19">
        <v>117</v>
      </c>
      <c r="F429" s="57" t="s">
        <v>1397</v>
      </c>
      <c r="G429" s="19" t="str">
        <f t="shared" si="42"/>
        <v>78640</v>
      </c>
      <c r="H429" s="19" t="s">
        <v>251</v>
      </c>
      <c r="I429" s="19" t="s">
        <v>252</v>
      </c>
      <c r="J429" s="19" t="s">
        <v>895</v>
      </c>
      <c r="K429" s="19" t="s">
        <v>191</v>
      </c>
      <c r="L429" s="19">
        <v>1270</v>
      </c>
      <c r="M429" s="19" t="str">
        <f t="shared" si="43"/>
        <v>Radio 78640_UnitID_1270</v>
      </c>
      <c r="N429" s="55" t="s">
        <v>352</v>
      </c>
      <c r="P429" s="19" t="s">
        <v>772</v>
      </c>
      <c r="Q429" s="60">
        <f t="shared" si="44"/>
        <v>4.3611111112113576E-2</v>
      </c>
      <c r="R429" s="19" t="b">
        <v>1</v>
      </c>
      <c r="S429" s="19" t="b">
        <v>1</v>
      </c>
    </row>
    <row r="430" spans="1:19">
      <c r="A430" s="17">
        <v>41743.543599537035</v>
      </c>
      <c r="B430" s="18">
        <v>41743.543599537035</v>
      </c>
      <c r="C430" s="17">
        <v>41743.583611111113</v>
      </c>
      <c r="D430" s="18">
        <v>41743.583611111113</v>
      </c>
      <c r="E430" s="19">
        <v>117</v>
      </c>
      <c r="F430" s="57" t="s">
        <v>1398</v>
      </c>
      <c r="G430" s="19" t="str">
        <f t="shared" si="42"/>
        <v>76331</v>
      </c>
      <c r="H430" s="19" t="s">
        <v>251</v>
      </c>
      <c r="I430" s="19" t="s">
        <v>252</v>
      </c>
      <c r="J430" s="19" t="s">
        <v>895</v>
      </c>
      <c r="K430" s="19" t="s">
        <v>191</v>
      </c>
      <c r="L430" s="19">
        <v>1260</v>
      </c>
      <c r="M430" s="19" t="str">
        <f t="shared" si="43"/>
        <v>Radio 76331_UnitID_1260</v>
      </c>
      <c r="N430" s="55" t="s">
        <v>352</v>
      </c>
      <c r="P430" s="19" t="s">
        <v>772</v>
      </c>
      <c r="Q430" s="60">
        <f t="shared" si="44"/>
        <v>4.0011574077652767E-2</v>
      </c>
      <c r="R430" s="19" t="b">
        <v>1</v>
      </c>
      <c r="S430" s="19" t="b">
        <v>1</v>
      </c>
    </row>
    <row r="431" spans="1:19">
      <c r="A431" s="17">
        <v>41743.578148148146</v>
      </c>
      <c r="B431" s="18">
        <v>41743.578148148146</v>
      </c>
      <c r="C431" s="17">
        <v>41743.607268518521</v>
      </c>
      <c r="D431" s="18">
        <v>41743.607268518521</v>
      </c>
      <c r="E431" s="19">
        <v>118</v>
      </c>
      <c r="F431" s="57" t="s">
        <v>1399</v>
      </c>
      <c r="G431" s="19" t="str">
        <f t="shared" si="42"/>
        <v>77821</v>
      </c>
      <c r="H431" s="19" t="s">
        <v>251</v>
      </c>
      <c r="I431" s="19" t="s">
        <v>252</v>
      </c>
      <c r="J431" s="19" t="s">
        <v>895</v>
      </c>
      <c r="K431" s="19" t="s">
        <v>191</v>
      </c>
      <c r="L431" s="19">
        <v>1100</v>
      </c>
      <c r="M431" s="19" t="str">
        <f t="shared" si="43"/>
        <v>Radio 77821_UnitID_1100</v>
      </c>
      <c r="N431" s="55" t="s">
        <v>352</v>
      </c>
      <c r="P431" s="19" t="s">
        <v>754</v>
      </c>
      <c r="Q431" s="60">
        <f t="shared" si="44"/>
        <v>2.9120370374585036E-2</v>
      </c>
      <c r="R431" s="19" t="b">
        <v>1</v>
      </c>
      <c r="S431" s="19" t="b">
        <v>1</v>
      </c>
    </row>
    <row r="432" spans="1:19">
      <c r="A432" s="17">
        <v>41743.585393518515</v>
      </c>
      <c r="B432" s="18">
        <v>41743.585393518515</v>
      </c>
      <c r="C432" s="17">
        <v>41743.609560185185</v>
      </c>
      <c r="D432" s="18">
        <v>41743.609560185185</v>
      </c>
      <c r="E432" s="19">
        <v>118</v>
      </c>
      <c r="F432" s="57" t="s">
        <v>1400</v>
      </c>
      <c r="G432" s="19" t="str">
        <f t="shared" si="42"/>
        <v>78588</v>
      </c>
      <c r="H432" s="19" t="s">
        <v>251</v>
      </c>
      <c r="I432" s="19" t="s">
        <v>252</v>
      </c>
      <c r="J432" s="19" t="s">
        <v>895</v>
      </c>
      <c r="K432" s="19" t="s">
        <v>191</v>
      </c>
      <c r="L432" s="19">
        <v>1200</v>
      </c>
      <c r="M432" s="19" t="str">
        <f t="shared" si="43"/>
        <v>Radio 78588_UnitID_1200</v>
      </c>
      <c r="N432" s="55" t="s">
        <v>352</v>
      </c>
      <c r="P432" s="19" t="s">
        <v>754</v>
      </c>
      <c r="Q432" s="60">
        <f t="shared" si="44"/>
        <v>2.4166666669771075E-2</v>
      </c>
      <c r="R432" s="19" t="b">
        <v>1</v>
      </c>
      <c r="S432" s="19" t="b">
        <v>1</v>
      </c>
    </row>
    <row r="433" spans="1:22">
      <c r="A433" s="17">
        <v>41743.612268518518</v>
      </c>
      <c r="B433" s="18">
        <v>41743.612268518518</v>
      </c>
      <c r="C433" s="17">
        <v>41743.646793981483</v>
      </c>
      <c r="D433" s="18">
        <v>41743.646793981483</v>
      </c>
      <c r="E433" s="19">
        <v>119</v>
      </c>
      <c r="F433" s="57" t="s">
        <v>1401</v>
      </c>
      <c r="G433" s="19" t="str">
        <f t="shared" si="42"/>
        <v>78720</v>
      </c>
      <c r="H433" s="19" t="s">
        <v>251</v>
      </c>
      <c r="I433" s="19" t="s">
        <v>252</v>
      </c>
      <c r="J433" s="19" t="s">
        <v>895</v>
      </c>
      <c r="K433" s="19" t="s">
        <v>191</v>
      </c>
      <c r="L433" s="19">
        <v>1320</v>
      </c>
      <c r="M433" s="19" t="str">
        <f t="shared" si="43"/>
        <v>Radio 78720_UnitID_1320</v>
      </c>
      <c r="N433" s="55" t="s">
        <v>352</v>
      </c>
      <c r="P433" s="19" t="s">
        <v>754</v>
      </c>
      <c r="Q433" s="60">
        <f t="shared" si="44"/>
        <v>3.4525462964666076E-2</v>
      </c>
      <c r="R433" s="19" t="b">
        <v>1</v>
      </c>
      <c r="S433" s="19" t="b">
        <v>1</v>
      </c>
    </row>
    <row r="434" spans="1:22">
      <c r="A434" s="17">
        <v>41743.634745370371</v>
      </c>
      <c r="B434" s="18">
        <v>41743.634745370371</v>
      </c>
      <c r="C434" s="17">
        <v>41743.668877314813</v>
      </c>
      <c r="D434" s="18">
        <v>41743.668877314813</v>
      </c>
      <c r="E434" s="19">
        <v>121</v>
      </c>
      <c r="F434" s="57" t="s">
        <v>1402</v>
      </c>
      <c r="G434" s="19" t="str">
        <f t="shared" si="42"/>
        <v>15689</v>
      </c>
      <c r="H434" s="19" t="s">
        <v>188</v>
      </c>
      <c r="I434" s="19" t="s">
        <v>252</v>
      </c>
      <c r="J434" s="19" t="s">
        <v>895</v>
      </c>
      <c r="K434" s="19" t="s">
        <v>191</v>
      </c>
      <c r="L434" s="19">
        <v>5412</v>
      </c>
      <c r="M434" s="19" t="str">
        <f t="shared" si="43"/>
        <v>Radio 15689_UnitID_5412</v>
      </c>
      <c r="N434" s="55" t="s">
        <v>631</v>
      </c>
      <c r="P434" s="19" t="s">
        <v>221</v>
      </c>
      <c r="Q434" s="60">
        <f t="shared" si="44"/>
        <v>3.4131944441469386E-2</v>
      </c>
      <c r="R434" s="19" t="b">
        <v>1</v>
      </c>
      <c r="S434" s="19" t="b">
        <v>1</v>
      </c>
    </row>
    <row r="435" spans="1:22">
      <c r="A435" s="17">
        <v>41743.635567129626</v>
      </c>
      <c r="B435" s="18">
        <v>41743.635567129626</v>
      </c>
      <c r="C435" s="17">
        <v>41743.668981481482</v>
      </c>
      <c r="D435" s="18">
        <v>41743.668981481482</v>
      </c>
      <c r="E435" s="19">
        <v>121</v>
      </c>
      <c r="F435" s="57" t="s">
        <v>1403</v>
      </c>
      <c r="G435" s="19" t="str">
        <f t="shared" si="42"/>
        <v>13752</v>
      </c>
      <c r="H435" s="19" t="s">
        <v>188</v>
      </c>
      <c r="I435" s="19" t="s">
        <v>252</v>
      </c>
      <c r="J435" s="19" t="s">
        <v>895</v>
      </c>
      <c r="K435" s="19" t="s">
        <v>191</v>
      </c>
      <c r="L435" s="19">
        <v>5472</v>
      </c>
      <c r="M435" s="19" t="str">
        <f t="shared" si="43"/>
        <v>Radio 13752_UnitID_5472</v>
      </c>
      <c r="N435" s="55" t="s">
        <v>631</v>
      </c>
      <c r="P435" s="19" t="s">
        <v>248</v>
      </c>
      <c r="Q435" s="60">
        <f t="shared" si="44"/>
        <v>3.3414351855753921E-2</v>
      </c>
      <c r="R435" s="19" t="b">
        <v>1</v>
      </c>
      <c r="S435" s="19" t="b">
        <v>1</v>
      </c>
    </row>
    <row r="436" spans="1:22">
      <c r="A436" s="17">
        <v>41743.636076388888</v>
      </c>
      <c r="B436" s="18">
        <v>41743.636076388888</v>
      </c>
      <c r="C436" s="17">
        <v>41743.671215277776</v>
      </c>
      <c r="D436" s="18">
        <v>41743.671215277776</v>
      </c>
      <c r="E436" s="19">
        <v>121</v>
      </c>
      <c r="F436" s="57" t="s">
        <v>1404</v>
      </c>
      <c r="G436" s="19" t="str">
        <f t="shared" si="42"/>
        <v>15330</v>
      </c>
      <c r="H436" s="19" t="s">
        <v>188</v>
      </c>
      <c r="I436" s="19" t="s">
        <v>252</v>
      </c>
      <c r="J436" s="19" t="s">
        <v>895</v>
      </c>
      <c r="K436" s="19" t="s">
        <v>191</v>
      </c>
      <c r="L436" s="19">
        <v>5421</v>
      </c>
      <c r="M436" s="19" t="str">
        <f t="shared" si="43"/>
        <v>Radio 15330_UnitID_5421</v>
      </c>
      <c r="N436" s="55" t="s">
        <v>631</v>
      </c>
      <c r="O436" s="19" t="s">
        <v>1407</v>
      </c>
      <c r="P436" s="19" t="s">
        <v>193</v>
      </c>
      <c r="Q436" s="60">
        <f t="shared" si="44"/>
        <v>3.51388888884685E-2</v>
      </c>
      <c r="R436" s="19" t="b">
        <v>1</v>
      </c>
      <c r="S436" s="19" t="b">
        <v>1</v>
      </c>
    </row>
    <row r="437" spans="1:22">
      <c r="A437" s="17">
        <v>41743.63722222222</v>
      </c>
      <c r="B437" s="18">
        <v>41743.63722222222</v>
      </c>
      <c r="C437" s="17">
        <v>41743.673530092594</v>
      </c>
      <c r="D437" s="18">
        <v>41743.673530092594</v>
      </c>
      <c r="E437" s="19">
        <v>121</v>
      </c>
      <c r="F437" s="57" t="s">
        <v>1405</v>
      </c>
      <c r="G437" s="19" t="str">
        <f t="shared" si="42"/>
        <v>15543</v>
      </c>
      <c r="H437" s="19" t="s">
        <v>188</v>
      </c>
      <c r="I437" s="19" t="s">
        <v>252</v>
      </c>
      <c r="J437" s="19" t="s">
        <v>895</v>
      </c>
      <c r="K437" s="19" t="s">
        <v>191</v>
      </c>
      <c r="L437" s="19">
        <v>5411</v>
      </c>
      <c r="M437" s="19" t="str">
        <f t="shared" si="43"/>
        <v>Radio 15543_UnitID_5411</v>
      </c>
      <c r="N437" s="55" t="s">
        <v>631</v>
      </c>
      <c r="P437" s="19" t="s">
        <v>1406</v>
      </c>
      <c r="Q437" s="60">
        <f t="shared" si="44"/>
        <v>3.630787037400296E-2</v>
      </c>
      <c r="R437" s="19" t="b">
        <v>1</v>
      </c>
      <c r="S437" s="19" t="b">
        <v>1</v>
      </c>
    </row>
    <row r="438" spans="1:22">
      <c r="A438" s="17">
        <v>41744.316979166666</v>
      </c>
      <c r="B438" s="18">
        <v>41744.316979166666</v>
      </c>
      <c r="C438" s="17">
        <v>41744.339918981481</v>
      </c>
      <c r="D438" s="18">
        <v>41744.339918981481</v>
      </c>
      <c r="E438" s="19">
        <v>122</v>
      </c>
      <c r="F438" s="57" t="s">
        <v>1408</v>
      </c>
      <c r="G438" s="19" t="str">
        <f t="shared" ref="G438:G461" si="45">RIGHT(F438,5)</f>
        <v>78665</v>
      </c>
      <c r="H438" s="19" t="s">
        <v>251</v>
      </c>
      <c r="I438" s="19" t="s">
        <v>252</v>
      </c>
      <c r="J438" s="19" t="s">
        <v>895</v>
      </c>
      <c r="K438" s="19" t="s">
        <v>191</v>
      </c>
      <c r="L438" s="19">
        <v>2420</v>
      </c>
      <c r="M438" s="19" t="str">
        <f t="shared" ref="M438:M455" si="46">CONCATENATE("Radio ",G438,"_UnitID_",L438)</f>
        <v>Radio 78665_UnitID_2420</v>
      </c>
      <c r="N438" s="55" t="s">
        <v>1409</v>
      </c>
      <c r="P438" s="19" t="s">
        <v>754</v>
      </c>
      <c r="Q438" s="60">
        <f t="shared" ref="Q438:Q455" si="47">IF(D438-B438 &gt; 2,((D438-B438)-1.7),IF(D438-B438 &gt; 1,(D438-B438)-0.7,IF(D438-B438 &gt; 0.5,(D438-B438)-0.7,(D438-B438))))</f>
        <v>2.2939814814890269E-2</v>
      </c>
      <c r="R438" s="19" t="b">
        <v>1</v>
      </c>
      <c r="S438" s="19" t="b">
        <v>1</v>
      </c>
    </row>
    <row r="439" spans="1:22">
      <c r="A439" s="17">
        <v>41744.318055555559</v>
      </c>
      <c r="B439" s="18">
        <v>41744.318055555559</v>
      </c>
      <c r="C439" s="17">
        <v>41744.343321759261</v>
      </c>
      <c r="D439" s="18">
        <v>41744.343321759261</v>
      </c>
      <c r="E439" s="19">
        <v>123</v>
      </c>
      <c r="F439" s="57" t="s">
        <v>1410</v>
      </c>
      <c r="G439" s="19" t="str">
        <f t="shared" si="45"/>
        <v>78732</v>
      </c>
      <c r="H439" s="19" t="s">
        <v>251</v>
      </c>
      <c r="I439" s="19" t="s">
        <v>252</v>
      </c>
      <c r="J439" s="19" t="s">
        <v>895</v>
      </c>
      <c r="K439" s="19" t="s">
        <v>191</v>
      </c>
      <c r="L439" s="19">
        <v>4620</v>
      </c>
      <c r="M439" s="19" t="str">
        <f t="shared" si="46"/>
        <v>Radio 78732_UnitID_4620</v>
      </c>
      <c r="N439" s="55" t="s">
        <v>218</v>
      </c>
      <c r="P439" s="19" t="s">
        <v>754</v>
      </c>
      <c r="Q439" s="60">
        <f t="shared" si="47"/>
        <v>2.5266203701903578E-2</v>
      </c>
      <c r="R439" s="19" t="b">
        <v>1</v>
      </c>
      <c r="S439" s="19" t="b">
        <v>1</v>
      </c>
    </row>
    <row r="440" spans="1:22">
      <c r="A440" s="17">
        <v>41744.320104166669</v>
      </c>
      <c r="B440" s="18">
        <v>41744.320104166669</v>
      </c>
      <c r="C440" s="17">
        <v>41744.343402777777</v>
      </c>
      <c r="D440" s="18">
        <v>41744.343402777777</v>
      </c>
      <c r="E440" s="19">
        <v>124</v>
      </c>
      <c r="F440" s="57" t="s">
        <v>1411</v>
      </c>
      <c r="G440" s="19" t="str">
        <f t="shared" si="45"/>
        <v>78686</v>
      </c>
      <c r="H440" s="19" t="s">
        <v>251</v>
      </c>
      <c r="I440" s="19" t="s">
        <v>252</v>
      </c>
      <c r="J440" s="19" t="s">
        <v>895</v>
      </c>
      <c r="K440" s="19" t="s">
        <v>191</v>
      </c>
      <c r="L440" s="19">
        <v>2400</v>
      </c>
      <c r="M440" s="19" t="str">
        <f t="shared" si="46"/>
        <v>Radio 78686_UnitID_2400</v>
      </c>
      <c r="N440" s="55" t="s">
        <v>1409</v>
      </c>
      <c r="P440" s="19" t="s">
        <v>754</v>
      </c>
      <c r="Q440" s="60">
        <f t="shared" si="47"/>
        <v>2.3298611107748002E-2</v>
      </c>
      <c r="R440" s="19" t="b">
        <v>1</v>
      </c>
      <c r="S440" s="19" t="b">
        <v>1</v>
      </c>
    </row>
    <row r="441" spans="1:22" ht="30">
      <c r="A441" s="17">
        <v>41744.340011574073</v>
      </c>
      <c r="B441" s="18">
        <v>41744.340011574073</v>
      </c>
      <c r="C441" s="17">
        <v>41744.358229166668</v>
      </c>
      <c r="D441" s="18">
        <v>41744.358229166668</v>
      </c>
      <c r="E441" s="19">
        <v>125</v>
      </c>
      <c r="F441" s="57" t="s">
        <v>1412</v>
      </c>
      <c r="G441" s="19" t="str">
        <f t="shared" si="45"/>
        <v>78582</v>
      </c>
      <c r="H441" s="19" t="s">
        <v>251</v>
      </c>
      <c r="I441" s="19" t="s">
        <v>252</v>
      </c>
      <c r="J441" s="19" t="s">
        <v>895</v>
      </c>
      <c r="K441" s="19" t="s">
        <v>191</v>
      </c>
      <c r="L441" s="19">
        <v>4040</v>
      </c>
      <c r="M441" s="19" t="str">
        <f t="shared" si="46"/>
        <v>Radio 78582_UnitID_4040</v>
      </c>
      <c r="N441" s="55" t="s">
        <v>545</v>
      </c>
      <c r="P441" s="19" t="s">
        <v>754</v>
      </c>
      <c r="Q441" s="60">
        <f t="shared" si="47"/>
        <v>1.8217592594737653E-2</v>
      </c>
      <c r="R441" s="19" t="b">
        <v>1</v>
      </c>
      <c r="S441" s="19" t="b">
        <v>1</v>
      </c>
    </row>
    <row r="442" spans="1:22">
      <c r="A442" s="17">
        <v>41744.364733796298</v>
      </c>
      <c r="B442" s="18">
        <v>41744.364733796298</v>
      </c>
      <c r="C442" s="17">
        <v>41744.42732638889</v>
      </c>
      <c r="D442" s="18">
        <v>41744.42732638889</v>
      </c>
      <c r="E442" s="19">
        <v>126</v>
      </c>
      <c r="F442" s="57" t="s">
        <v>1413</v>
      </c>
      <c r="G442" s="19" t="str">
        <f t="shared" si="45"/>
        <v>78602</v>
      </c>
      <c r="H442" s="19" t="s">
        <v>251</v>
      </c>
      <c r="I442" s="19" t="s">
        <v>252</v>
      </c>
      <c r="J442" s="19" t="s">
        <v>895</v>
      </c>
      <c r="K442" s="19" t="s">
        <v>191</v>
      </c>
      <c r="L442" s="19">
        <v>1492</v>
      </c>
      <c r="M442" s="19" t="str">
        <f t="shared" si="46"/>
        <v>Radio 78602_UnitID_1492</v>
      </c>
      <c r="N442" s="55" t="s">
        <v>352</v>
      </c>
      <c r="P442" s="19" t="s">
        <v>754</v>
      </c>
      <c r="Q442" s="60">
        <f t="shared" si="47"/>
        <v>6.2592592592409346E-2</v>
      </c>
      <c r="R442" s="19" t="b">
        <v>1</v>
      </c>
      <c r="S442" s="19" t="b">
        <v>1</v>
      </c>
    </row>
    <row r="443" spans="1:22">
      <c r="A443" s="17">
        <v>41744.368900462963</v>
      </c>
      <c r="B443" s="18">
        <v>41744.368900462963</v>
      </c>
      <c r="C443" s="17">
        <v>41744.589328703703</v>
      </c>
      <c r="D443" s="18">
        <v>41744.589328703703</v>
      </c>
      <c r="E443" s="19">
        <v>126</v>
      </c>
      <c r="F443" s="57" t="s">
        <v>1414</v>
      </c>
      <c r="G443" s="19" t="str">
        <f t="shared" si="45"/>
        <v>78581</v>
      </c>
      <c r="H443" s="19" t="s">
        <v>251</v>
      </c>
      <c r="I443" s="19" t="s">
        <v>252</v>
      </c>
      <c r="J443" s="19" t="s">
        <v>895</v>
      </c>
      <c r="K443" s="19" t="s">
        <v>191</v>
      </c>
      <c r="L443" s="19">
        <v>1110</v>
      </c>
      <c r="M443" s="19" t="str">
        <f t="shared" si="46"/>
        <v>Radio 78581_UnitID_1110</v>
      </c>
      <c r="N443" s="55" t="s">
        <v>352</v>
      </c>
      <c r="P443" s="19" t="s">
        <v>770</v>
      </c>
      <c r="Q443" s="60">
        <f t="shared" si="47"/>
        <v>0.22042824074014788</v>
      </c>
      <c r="R443" s="19" t="b">
        <v>1</v>
      </c>
      <c r="S443" s="19" t="b">
        <v>1</v>
      </c>
    </row>
    <row r="444" spans="1:22" ht="45">
      <c r="A444" s="17">
        <v>41744.369155092594</v>
      </c>
      <c r="B444" s="18">
        <v>41744.369155092594</v>
      </c>
      <c r="C444" s="17">
        <v>41744.408530092594</v>
      </c>
      <c r="D444" s="18">
        <v>41744.408530092594</v>
      </c>
      <c r="E444" s="19">
        <v>126</v>
      </c>
      <c r="F444" s="57" t="s">
        <v>1415</v>
      </c>
      <c r="G444" s="19" t="str">
        <f t="shared" si="45"/>
        <v>76327</v>
      </c>
      <c r="H444" s="19" t="s">
        <v>251</v>
      </c>
      <c r="I444" s="19" t="s">
        <v>252</v>
      </c>
      <c r="J444" s="19" t="s">
        <v>895</v>
      </c>
      <c r="K444" s="19" t="s">
        <v>191</v>
      </c>
      <c r="L444" s="19">
        <v>1340</v>
      </c>
      <c r="M444" s="19" t="str">
        <f t="shared" si="46"/>
        <v>Radio 76327_UnitID_1340</v>
      </c>
      <c r="N444" s="55" t="s">
        <v>352</v>
      </c>
      <c r="P444" s="55" t="s">
        <v>1416</v>
      </c>
      <c r="Q444" s="60">
        <f t="shared" si="47"/>
        <v>3.9375000000291038E-2</v>
      </c>
      <c r="R444" s="19" t="b">
        <v>1</v>
      </c>
      <c r="S444" s="19" t="b">
        <v>1</v>
      </c>
    </row>
    <row r="445" spans="1:22" ht="45">
      <c r="A445" s="17">
        <v>41744.37127314815</v>
      </c>
      <c r="B445" s="18">
        <v>41744.37127314815</v>
      </c>
      <c r="C445" s="17">
        <v>41744.478437500002</v>
      </c>
      <c r="D445" s="18">
        <v>41744.478437500002</v>
      </c>
      <c r="E445" s="19">
        <v>126</v>
      </c>
      <c r="F445" s="57" t="s">
        <v>1417</v>
      </c>
      <c r="G445" s="19" t="str">
        <f t="shared" si="45"/>
        <v>76309</v>
      </c>
      <c r="H445" s="19" t="s">
        <v>251</v>
      </c>
      <c r="I445" s="19" t="s">
        <v>252</v>
      </c>
      <c r="J445" s="19" t="s">
        <v>895</v>
      </c>
      <c r="K445" s="19" t="s">
        <v>191</v>
      </c>
      <c r="L445" s="19">
        <v>1350</v>
      </c>
      <c r="M445" s="19" t="str">
        <f t="shared" si="46"/>
        <v>Radio 76309_UnitID_1350</v>
      </c>
      <c r="N445" s="55" t="s">
        <v>352</v>
      </c>
      <c r="P445" s="55" t="s">
        <v>1416</v>
      </c>
      <c r="Q445" s="60">
        <f t="shared" si="47"/>
        <v>0.10716435185167938</v>
      </c>
      <c r="R445" s="19" t="b">
        <v>1</v>
      </c>
      <c r="S445" s="19" t="b">
        <v>1</v>
      </c>
      <c r="V445" s="19" t="s">
        <v>1427</v>
      </c>
    </row>
    <row r="446" spans="1:22">
      <c r="A446" s="17">
        <v>41744.377199074072</v>
      </c>
      <c r="B446" s="18">
        <v>41744.377199074072</v>
      </c>
      <c r="C446" s="17">
        <v>41744.432569444441</v>
      </c>
      <c r="D446" s="18">
        <v>41744.432569444441</v>
      </c>
      <c r="E446" s="19">
        <v>127</v>
      </c>
      <c r="F446" s="57" t="s">
        <v>1419</v>
      </c>
      <c r="G446" s="19" t="str">
        <f t="shared" si="45"/>
        <v>76388</v>
      </c>
      <c r="H446" s="19" t="s">
        <v>251</v>
      </c>
      <c r="I446" s="19" t="s">
        <v>252</v>
      </c>
      <c r="J446" s="19" t="s">
        <v>895</v>
      </c>
      <c r="K446" s="19" t="s">
        <v>191</v>
      </c>
      <c r="L446" s="19">
        <v>2700</v>
      </c>
      <c r="M446" s="19" t="str">
        <f t="shared" si="46"/>
        <v>Radio 76388_UnitID_2700</v>
      </c>
      <c r="N446" s="55" t="s">
        <v>1420</v>
      </c>
      <c r="P446" s="19" t="s">
        <v>770</v>
      </c>
      <c r="Q446" s="60">
        <f t="shared" si="47"/>
        <v>5.5370370369928423E-2</v>
      </c>
      <c r="R446" s="19" t="b">
        <v>1</v>
      </c>
      <c r="S446" s="19" t="b">
        <v>1</v>
      </c>
    </row>
    <row r="447" spans="1:22" ht="45">
      <c r="A447" s="17">
        <v>41744.377500000002</v>
      </c>
      <c r="B447" s="18">
        <v>41744.377500000002</v>
      </c>
      <c r="C447" s="17">
        <v>41744.443124999998</v>
      </c>
      <c r="D447" s="18">
        <v>41744.443124999998</v>
      </c>
      <c r="E447" s="19">
        <v>128</v>
      </c>
      <c r="F447" s="57" t="s">
        <v>1421</v>
      </c>
      <c r="G447" s="19" t="str">
        <f t="shared" si="45"/>
        <v>78713</v>
      </c>
      <c r="H447" s="19" t="s">
        <v>251</v>
      </c>
      <c r="I447" s="19" t="s">
        <v>252</v>
      </c>
      <c r="J447" s="19" t="s">
        <v>895</v>
      </c>
      <c r="K447" s="19" t="s">
        <v>191</v>
      </c>
      <c r="L447" s="19">
        <v>2200</v>
      </c>
      <c r="M447" s="19" t="str">
        <f t="shared" si="46"/>
        <v>Radio 78713_UnitID_2200</v>
      </c>
      <c r="N447" s="55" t="s">
        <v>1422</v>
      </c>
      <c r="P447" s="55" t="s">
        <v>1423</v>
      </c>
      <c r="Q447" s="60">
        <f t="shared" si="47"/>
        <v>6.5624999995634425E-2</v>
      </c>
      <c r="R447" s="19" t="b">
        <v>1</v>
      </c>
      <c r="S447" s="19" t="b">
        <v>1</v>
      </c>
    </row>
    <row r="448" spans="1:22" ht="45">
      <c r="A448" s="17">
        <v>41744.381145833337</v>
      </c>
      <c r="B448" s="18">
        <v>41744.381145833337</v>
      </c>
      <c r="C448" s="17">
        <v>41744.467986111114</v>
      </c>
      <c r="D448" s="18">
        <v>41744.467986111114</v>
      </c>
      <c r="E448" s="19">
        <v>128</v>
      </c>
      <c r="F448" s="57" t="s">
        <v>1424</v>
      </c>
      <c r="G448" s="19" t="str">
        <f t="shared" si="45"/>
        <v>78656</v>
      </c>
      <c r="H448" s="19" t="s">
        <v>251</v>
      </c>
      <c r="I448" s="19" t="s">
        <v>252</v>
      </c>
      <c r="J448" s="19" t="s">
        <v>895</v>
      </c>
      <c r="K448" s="19" t="s">
        <v>191</v>
      </c>
      <c r="L448" s="19">
        <v>2230</v>
      </c>
      <c r="M448" s="19" t="str">
        <f t="shared" si="46"/>
        <v>Radio 78656_UnitID_2230</v>
      </c>
      <c r="N448" s="55" t="s">
        <v>1422</v>
      </c>
      <c r="P448" s="55" t="s">
        <v>1423</v>
      </c>
      <c r="Q448" s="60">
        <f t="shared" si="47"/>
        <v>8.6840277777810115E-2</v>
      </c>
      <c r="R448" s="19" t="b">
        <v>1</v>
      </c>
      <c r="S448" s="19" t="b">
        <v>1</v>
      </c>
    </row>
    <row r="449" spans="1:19" ht="45">
      <c r="A449" s="17">
        <v>41744.381469907406</v>
      </c>
      <c r="B449" s="18">
        <v>41744.381469907406</v>
      </c>
      <c r="C449" s="17">
        <v>41744.446967592594</v>
      </c>
      <c r="D449" s="18">
        <v>41744.446967592594</v>
      </c>
      <c r="E449" s="19">
        <v>128</v>
      </c>
      <c r="F449" s="57" t="s">
        <v>1425</v>
      </c>
      <c r="G449" s="19" t="str">
        <f t="shared" si="45"/>
        <v>78506</v>
      </c>
      <c r="H449" s="19" t="s">
        <v>251</v>
      </c>
      <c r="I449" s="19" t="s">
        <v>252</v>
      </c>
      <c r="J449" s="19" t="s">
        <v>895</v>
      </c>
      <c r="K449" s="19" t="s">
        <v>191</v>
      </c>
      <c r="L449" s="19">
        <v>2220</v>
      </c>
      <c r="M449" s="19" t="str">
        <f t="shared" si="46"/>
        <v>Radio 78506_UnitID_2220</v>
      </c>
      <c r="N449" s="55" t="s">
        <v>1422</v>
      </c>
      <c r="P449" s="55" t="s">
        <v>1423</v>
      </c>
      <c r="Q449" s="60">
        <f t="shared" si="47"/>
        <v>6.5497685187438037E-2</v>
      </c>
      <c r="R449" s="19" t="b">
        <v>1</v>
      </c>
      <c r="S449" s="19" t="b">
        <v>1</v>
      </c>
    </row>
    <row r="450" spans="1:19">
      <c r="A450" s="17">
        <v>41744.417013888888</v>
      </c>
      <c r="B450" s="18">
        <v>41744.417013888888</v>
      </c>
      <c r="C450" s="17">
        <v>41744.476157407407</v>
      </c>
      <c r="D450" s="18">
        <v>41744.476157407407</v>
      </c>
      <c r="E450" s="19">
        <v>129</v>
      </c>
      <c r="F450" s="57" t="s">
        <v>1426</v>
      </c>
      <c r="G450" s="19" t="str">
        <f t="shared" si="45"/>
        <v>75042</v>
      </c>
      <c r="H450" s="19" t="s">
        <v>251</v>
      </c>
      <c r="I450" s="19" t="s">
        <v>252</v>
      </c>
      <c r="J450" s="19" t="s">
        <v>895</v>
      </c>
      <c r="K450" s="19" t="s">
        <v>191</v>
      </c>
      <c r="L450" s="19">
        <v>1080</v>
      </c>
      <c r="M450" s="19" t="str">
        <f t="shared" si="46"/>
        <v>Radio 75042_UnitID_1080</v>
      </c>
      <c r="N450" s="55" t="s">
        <v>352</v>
      </c>
      <c r="P450" s="19" t="s">
        <v>754</v>
      </c>
      <c r="Q450" s="60">
        <f t="shared" si="47"/>
        <v>5.914351851970423E-2</v>
      </c>
      <c r="R450" s="19" t="b">
        <v>1</v>
      </c>
      <c r="S450" s="19" t="b">
        <v>1</v>
      </c>
    </row>
    <row r="451" spans="1:19">
      <c r="A451" s="17">
        <v>41744.430972222224</v>
      </c>
      <c r="B451" s="18">
        <v>41744.430972222224</v>
      </c>
      <c r="C451" s="17">
        <v>41744.477835648147</v>
      </c>
      <c r="D451" s="18">
        <v>41744.477835648147</v>
      </c>
      <c r="E451" s="19">
        <v>130</v>
      </c>
      <c r="F451" s="57" t="s">
        <v>1428</v>
      </c>
      <c r="G451" s="19" t="str">
        <f t="shared" si="45"/>
        <v>78552</v>
      </c>
      <c r="H451" s="19" t="s">
        <v>251</v>
      </c>
      <c r="I451" s="19" t="s">
        <v>252</v>
      </c>
      <c r="J451" s="19" t="s">
        <v>895</v>
      </c>
      <c r="K451" s="19" t="s">
        <v>191</v>
      </c>
      <c r="L451" s="19">
        <v>2720</v>
      </c>
      <c r="M451" s="19" t="str">
        <f t="shared" si="46"/>
        <v>Radio 78552_UnitID_2720</v>
      </c>
      <c r="N451" s="55" t="s">
        <v>1420</v>
      </c>
      <c r="P451" s="19" t="s">
        <v>754</v>
      </c>
      <c r="Q451" s="60">
        <f t="shared" si="47"/>
        <v>4.6863425923220348E-2</v>
      </c>
      <c r="R451" s="19" t="b">
        <v>1</v>
      </c>
      <c r="S451" s="19" t="b">
        <v>1</v>
      </c>
    </row>
    <row r="452" spans="1:19">
      <c r="A452" s="17">
        <v>41744.436678240738</v>
      </c>
      <c r="B452" s="18">
        <v>41744.436678240738</v>
      </c>
      <c r="C452" s="17">
        <v>41744.489930555559</v>
      </c>
      <c r="D452" s="18">
        <v>41744.489930555559</v>
      </c>
      <c r="E452" s="19">
        <v>131</v>
      </c>
      <c r="F452" s="57" t="s">
        <v>1429</v>
      </c>
      <c r="G452" s="19" t="str">
        <f t="shared" si="45"/>
        <v>78563</v>
      </c>
      <c r="H452" s="19" t="s">
        <v>251</v>
      </c>
      <c r="I452" s="19" t="s">
        <v>252</v>
      </c>
      <c r="J452" s="19" t="s">
        <v>895</v>
      </c>
      <c r="K452" s="19" t="s">
        <v>191</v>
      </c>
      <c r="L452" s="19">
        <v>1950</v>
      </c>
      <c r="M452" s="19" t="str">
        <f t="shared" si="46"/>
        <v>Radio 78563_UnitID_1950</v>
      </c>
      <c r="N452" s="55" t="s">
        <v>352</v>
      </c>
      <c r="P452" s="19" t="s">
        <v>754</v>
      </c>
      <c r="Q452" s="60">
        <f t="shared" si="47"/>
        <v>5.3252314821293112E-2</v>
      </c>
      <c r="R452" s="19" t="b">
        <v>1</v>
      </c>
      <c r="S452" s="19" t="b">
        <v>1</v>
      </c>
    </row>
    <row r="453" spans="1:19">
      <c r="A453" s="17">
        <v>41744.445601851854</v>
      </c>
      <c r="B453" s="18">
        <v>41744.445601851854</v>
      </c>
      <c r="C453" s="17">
        <v>41744.487222222226</v>
      </c>
      <c r="D453" s="18">
        <v>41744.487222222226</v>
      </c>
      <c r="E453" s="19">
        <v>132</v>
      </c>
      <c r="F453" s="57" t="s">
        <v>1430</v>
      </c>
      <c r="G453" s="19" t="str">
        <f t="shared" si="45"/>
        <v>78601</v>
      </c>
      <c r="H453" s="19" t="s">
        <v>251</v>
      </c>
      <c r="I453" s="19" t="s">
        <v>252</v>
      </c>
      <c r="J453" s="19" t="s">
        <v>895</v>
      </c>
      <c r="K453" s="19" t="s">
        <v>191</v>
      </c>
      <c r="L453" s="19">
        <v>2410</v>
      </c>
      <c r="M453" s="19" t="str">
        <f t="shared" si="46"/>
        <v>Radio 78601_UnitID_2410</v>
      </c>
      <c r="N453" s="55" t="s">
        <v>1409</v>
      </c>
      <c r="P453" s="19" t="s">
        <v>754</v>
      </c>
      <c r="Q453" s="60">
        <f t="shared" si="47"/>
        <v>4.1620370371674653E-2</v>
      </c>
      <c r="R453" s="19" t="b">
        <v>1</v>
      </c>
      <c r="S453" s="19" t="b">
        <v>1</v>
      </c>
    </row>
    <row r="454" spans="1:19">
      <c r="A454" s="17">
        <v>41744.473032407404</v>
      </c>
      <c r="B454" s="18">
        <v>41744.473032407404</v>
      </c>
      <c r="C454" s="17">
        <v>41744.522685185184</v>
      </c>
      <c r="D454" s="18">
        <v>41744.522685185184</v>
      </c>
      <c r="E454" s="19">
        <v>133</v>
      </c>
      <c r="F454" s="57" t="s">
        <v>1431</v>
      </c>
      <c r="G454" s="19" t="str">
        <f t="shared" si="45"/>
        <v>13471</v>
      </c>
      <c r="H454" s="19" t="s">
        <v>188</v>
      </c>
      <c r="I454" s="19" t="s">
        <v>245</v>
      </c>
      <c r="J454" s="19" t="s">
        <v>895</v>
      </c>
      <c r="K454" s="19" t="s">
        <v>191</v>
      </c>
      <c r="L454" s="19">
        <v>3001</v>
      </c>
      <c r="M454" s="19" t="str">
        <f t="shared" si="46"/>
        <v>Radio 13471_UnitID_3001</v>
      </c>
      <c r="N454" s="55" t="s">
        <v>253</v>
      </c>
      <c r="P454" s="19" t="s">
        <v>1432</v>
      </c>
      <c r="Q454" s="60">
        <f t="shared" si="47"/>
        <v>4.9652777779556345E-2</v>
      </c>
      <c r="R454" s="19" t="b">
        <v>1</v>
      </c>
      <c r="S454" s="19" t="b">
        <v>1</v>
      </c>
    </row>
    <row r="455" spans="1:19">
      <c r="A455" s="17">
        <v>41744.47420138889</v>
      </c>
      <c r="B455" s="18">
        <v>41744.47420138889</v>
      </c>
      <c r="C455" s="17">
        <v>41744.49</v>
      </c>
      <c r="D455" s="18">
        <v>41744.49</v>
      </c>
      <c r="E455" s="19">
        <v>133</v>
      </c>
      <c r="F455" s="57" t="s">
        <v>1433</v>
      </c>
      <c r="G455" s="19" t="str">
        <f t="shared" si="45"/>
        <v>85763</v>
      </c>
      <c r="H455" s="19" t="s">
        <v>188</v>
      </c>
      <c r="I455" s="19" t="s">
        <v>245</v>
      </c>
      <c r="J455" s="19" t="s">
        <v>895</v>
      </c>
      <c r="K455" s="19" t="s">
        <v>191</v>
      </c>
      <c r="L455" s="19">
        <v>3011</v>
      </c>
      <c r="M455" s="19" t="str">
        <f t="shared" si="46"/>
        <v>Radio 85763_UnitID_3011</v>
      </c>
      <c r="N455" s="55" t="s">
        <v>253</v>
      </c>
      <c r="P455" s="19" t="s">
        <v>1432</v>
      </c>
      <c r="Q455" s="60">
        <f t="shared" si="47"/>
        <v>1.579861110803904E-2</v>
      </c>
      <c r="R455" s="19" t="b">
        <v>1</v>
      </c>
      <c r="S455" s="19" t="b">
        <v>1</v>
      </c>
    </row>
    <row r="456" spans="1:19">
      <c r="A456" s="17">
        <v>41744.56590277778</v>
      </c>
      <c r="B456" s="18">
        <v>41744.56590277778</v>
      </c>
      <c r="C456" s="17">
        <v>41744.608124999999</v>
      </c>
      <c r="D456" s="18">
        <v>41744.608124999999</v>
      </c>
      <c r="E456" s="19">
        <v>134</v>
      </c>
      <c r="F456" s="57" t="s">
        <v>1434</v>
      </c>
      <c r="G456" s="19" t="str">
        <f t="shared" si="45"/>
        <v>94666</v>
      </c>
      <c r="H456" s="19" t="s">
        <v>251</v>
      </c>
      <c r="I456" s="19" t="s">
        <v>269</v>
      </c>
      <c r="J456" s="19" t="s">
        <v>895</v>
      </c>
      <c r="K456" s="19" t="s">
        <v>191</v>
      </c>
      <c r="L456" s="19">
        <v>2800</v>
      </c>
      <c r="M456" s="19" t="str">
        <f t="shared" ref="M456:M460" si="48">CONCATENATE("Radio ",G456,"_UnitID_",L456)</f>
        <v>Radio 94666_UnitID_2800</v>
      </c>
      <c r="N456" s="55" t="s">
        <v>1435</v>
      </c>
      <c r="P456" s="19" t="s">
        <v>754</v>
      </c>
      <c r="Q456" s="60">
        <f t="shared" ref="Q456:Q461" si="49">IF(D456-B456 &gt; 2,((D456-B456)-1.7),IF(D456-B456 &gt; 1,(D456-B456)-0.7,IF(D456-B456 &gt; 0.5,(D456-B456)-0.7,(D456-B456))))</f>
        <v>4.2222222218697425E-2</v>
      </c>
      <c r="R456" s="19" t="b">
        <v>1</v>
      </c>
      <c r="S456" s="19" t="b">
        <v>1</v>
      </c>
    </row>
    <row r="457" spans="1:19">
      <c r="A457" s="17">
        <v>41744.566423611112</v>
      </c>
      <c r="B457" s="18">
        <v>41744.566423611112</v>
      </c>
      <c r="C457" s="17">
        <v>41744.645532407405</v>
      </c>
      <c r="D457" s="18">
        <v>41744.645532407405</v>
      </c>
      <c r="E457" s="19">
        <v>135</v>
      </c>
      <c r="F457" s="57" t="s">
        <v>1436</v>
      </c>
      <c r="G457" s="19" t="str">
        <f t="shared" si="45"/>
        <v>77822</v>
      </c>
      <c r="H457" s="19" t="s">
        <v>251</v>
      </c>
      <c r="I457" s="19" t="s">
        <v>252</v>
      </c>
      <c r="J457" s="19" t="s">
        <v>895</v>
      </c>
      <c r="K457" s="19" t="s">
        <v>191</v>
      </c>
      <c r="L457" s="19">
        <v>2120</v>
      </c>
      <c r="M457" s="19" t="str">
        <f t="shared" si="48"/>
        <v>Radio 77822_UnitID_2120</v>
      </c>
      <c r="N457" s="55" t="s">
        <v>1437</v>
      </c>
      <c r="P457" s="19" t="s">
        <v>754</v>
      </c>
      <c r="Q457" s="60">
        <f t="shared" si="49"/>
        <v>7.9108796293439809E-2</v>
      </c>
      <c r="R457" s="19" t="b">
        <v>1</v>
      </c>
      <c r="S457" s="19" t="b">
        <v>1</v>
      </c>
    </row>
    <row r="458" spans="1:19">
      <c r="A458" s="17">
        <v>41744.571643518517</v>
      </c>
      <c r="B458" s="18">
        <v>41744.571643518517</v>
      </c>
      <c r="C458" s="17">
        <v>41744.640520833331</v>
      </c>
      <c r="D458" s="18">
        <v>41744.640520833331</v>
      </c>
      <c r="E458" s="19">
        <v>135</v>
      </c>
      <c r="F458" s="57" t="s">
        <v>1438</v>
      </c>
      <c r="G458" s="19" t="str">
        <f t="shared" si="45"/>
        <v>76100</v>
      </c>
      <c r="H458" s="19" t="s">
        <v>251</v>
      </c>
      <c r="I458" s="19" t="s">
        <v>252</v>
      </c>
      <c r="J458" s="19" t="s">
        <v>895</v>
      </c>
      <c r="K458" s="19" t="s">
        <v>191</v>
      </c>
      <c r="L458" s="19">
        <v>2110</v>
      </c>
      <c r="M458" s="19" t="str">
        <f t="shared" si="48"/>
        <v>Radio 76100_UnitID_2110</v>
      </c>
      <c r="N458" s="55" t="s">
        <v>1437</v>
      </c>
      <c r="P458" s="19" t="s">
        <v>754</v>
      </c>
      <c r="Q458" s="60">
        <f t="shared" si="49"/>
        <v>6.8877314814017154E-2</v>
      </c>
      <c r="R458" s="19" t="b">
        <v>1</v>
      </c>
      <c r="S458" s="19" t="b">
        <v>1</v>
      </c>
    </row>
    <row r="459" spans="1:19">
      <c r="A459" s="17">
        <v>41744.572696759256</v>
      </c>
      <c r="B459" s="18">
        <v>41744.572696759256</v>
      </c>
      <c r="C459" s="17">
        <v>41744.610763888886</v>
      </c>
      <c r="D459" s="18">
        <v>41744.610763888886</v>
      </c>
      <c r="E459" s="19">
        <v>135</v>
      </c>
      <c r="F459" s="57" t="s">
        <v>1439</v>
      </c>
      <c r="G459" s="19" t="str">
        <f t="shared" si="45"/>
        <v>76371</v>
      </c>
      <c r="H459" s="19" t="s">
        <v>251</v>
      </c>
      <c r="I459" s="19" t="s">
        <v>252</v>
      </c>
      <c r="J459" s="19" t="s">
        <v>895</v>
      </c>
      <c r="K459" s="19" t="s">
        <v>191</v>
      </c>
      <c r="L459" s="19">
        <v>2100</v>
      </c>
      <c r="M459" s="19" t="str">
        <f t="shared" si="48"/>
        <v>Radio 76371_UnitID_2100</v>
      </c>
      <c r="N459" s="55" t="s">
        <v>1437</v>
      </c>
      <c r="P459" s="19" t="s">
        <v>754</v>
      </c>
      <c r="Q459" s="60">
        <f t="shared" si="49"/>
        <v>3.8067129629780538E-2</v>
      </c>
      <c r="R459" s="19" t="b">
        <v>1</v>
      </c>
      <c r="S459" s="19" t="b">
        <v>1</v>
      </c>
    </row>
    <row r="460" spans="1:19" ht="30">
      <c r="A460" s="17">
        <v>41744.583506944444</v>
      </c>
      <c r="B460" s="18">
        <v>41744.583506944444</v>
      </c>
      <c r="C460" s="17">
        <v>41744.645312499997</v>
      </c>
      <c r="D460" s="18">
        <v>41744.645312499997</v>
      </c>
      <c r="E460" s="19">
        <v>136</v>
      </c>
      <c r="F460" s="57" t="s">
        <v>1440</v>
      </c>
      <c r="G460" s="19" t="str">
        <f t="shared" si="45"/>
        <v>78682</v>
      </c>
      <c r="H460" s="19" t="s">
        <v>251</v>
      </c>
      <c r="I460" s="19" t="s">
        <v>252</v>
      </c>
      <c r="J460" s="19" t="s">
        <v>895</v>
      </c>
      <c r="K460" s="19" t="s">
        <v>191</v>
      </c>
      <c r="L460" s="19">
        <v>2210</v>
      </c>
      <c r="M460" s="19" t="str">
        <f t="shared" si="48"/>
        <v>Radio 78682_UnitID_2210</v>
      </c>
      <c r="N460" s="55" t="s">
        <v>1422</v>
      </c>
      <c r="P460" s="19" t="s">
        <v>754</v>
      </c>
      <c r="Q460" s="60">
        <f t="shared" si="49"/>
        <v>6.1805555553291924E-2</v>
      </c>
      <c r="R460" s="19" t="b">
        <v>1</v>
      </c>
      <c r="S460" s="19" t="b">
        <v>1</v>
      </c>
    </row>
    <row r="461" spans="1:19">
      <c r="A461" s="17">
        <v>41744.583865740744</v>
      </c>
      <c r="B461" s="18">
        <v>41744.583865740744</v>
      </c>
      <c r="C461" s="17">
        <v>41744.640451388892</v>
      </c>
      <c r="D461" s="18">
        <v>41744.640451388892</v>
      </c>
      <c r="E461" s="19">
        <v>137</v>
      </c>
      <c r="F461" s="57" t="s">
        <v>1441</v>
      </c>
      <c r="G461" s="19" t="str">
        <f t="shared" si="45"/>
        <v>78575</v>
      </c>
      <c r="H461" s="19" t="s">
        <v>251</v>
      </c>
      <c r="I461" s="19" t="s">
        <v>252</v>
      </c>
      <c r="J461" s="19" t="s">
        <v>895</v>
      </c>
      <c r="K461" s="19" t="s">
        <v>191</v>
      </c>
      <c r="L461" s="19">
        <v>1472</v>
      </c>
      <c r="M461" s="19" t="str">
        <f>CONCATENATE("Radio ",G461,"_UnitID_",L461)</f>
        <v>Radio 78575_UnitID_1472</v>
      </c>
      <c r="N461" s="55" t="s">
        <v>352</v>
      </c>
      <c r="P461" s="19" t="s">
        <v>754</v>
      </c>
      <c r="Q461" s="60">
        <f t="shared" si="49"/>
        <v>5.6585648148029577E-2</v>
      </c>
      <c r="R461" s="19" t="b">
        <v>1</v>
      </c>
      <c r="S461" s="19" t="b">
        <v>1</v>
      </c>
    </row>
  </sheetData>
  <sheetProtection selectLockedCells="1"/>
  <mergeCells count="2">
    <mergeCell ref="G1:L1"/>
    <mergeCell ref="V65:X65"/>
  </mergeCells>
  <conditionalFormatting sqref="N1">
    <cfRule type="iconSet" priority="12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G1:L1">
    <cfRule type="containsText" dxfId="17" priority="11" operator="containsText" text="100">
      <formula>NOT(ISERROR(SEARCH("100",G1)))</formula>
    </cfRule>
  </conditionalFormatting>
  <conditionalFormatting sqref="L322:L1048576 L1:L2">
    <cfRule type="duplicateValues" dxfId="16" priority="9"/>
    <cfRule type="duplicateValues" dxfId="15" priority="10"/>
  </conditionalFormatting>
  <conditionalFormatting sqref="G322:G1048576 G1:G2">
    <cfRule type="duplicateValues" dxfId="14" priority="8"/>
  </conditionalFormatting>
  <conditionalFormatting sqref="U2">
    <cfRule type="duplicateValues" dxfId="13" priority="7"/>
  </conditionalFormatting>
  <conditionalFormatting sqref="L3:L321">
    <cfRule type="duplicateValues" dxfId="12" priority="24"/>
    <cfRule type="duplicateValues" dxfId="11" priority="25"/>
  </conditionalFormatting>
  <conditionalFormatting sqref="G3:G321">
    <cfRule type="duplicateValues" dxfId="10" priority="28"/>
  </conditionalFormatting>
  <conditionalFormatting sqref="L3:L959">
    <cfRule type="duplicateValues" dxfId="9" priority="85"/>
  </conditionalFormatting>
  <pageMargins left="0.7" right="0.7" top="0.75" bottom="0.75" header="0.3" footer="0.3"/>
  <pageSetup scale="50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XFD1048572"/>
  <sheetViews>
    <sheetView workbookViewId="0">
      <pane ySplit="2" topLeftCell="A3" activePane="bottomLeft" state="frozen"/>
      <selection pane="bottomLeft" activeCell="B4" sqref="B4:D4"/>
    </sheetView>
  </sheetViews>
  <sheetFormatPr defaultRowHeight="15"/>
  <cols>
    <col min="1" max="1" width="13.7109375" style="20" bestFit="1" customWidth="1"/>
    <col min="2" max="2" width="14.140625" style="20" bestFit="1" customWidth="1"/>
    <col min="3" max="3" width="15.140625" style="20" bestFit="1" customWidth="1"/>
    <col min="4" max="4" width="15.5703125" style="20" customWidth="1"/>
    <col min="5" max="5" width="12.28515625" customWidth="1"/>
    <col min="6" max="6" width="17.28515625" customWidth="1"/>
    <col min="7" max="7" width="6.7109375" bestFit="1" customWidth="1"/>
    <col min="8" max="8" width="16.42578125" bestFit="1" customWidth="1"/>
    <col min="9" max="10" width="11.7109375" customWidth="1"/>
    <col min="11" max="11" width="11" customWidth="1"/>
    <col min="12" max="13" width="9.7109375" customWidth="1"/>
    <col min="14" max="14" width="16.7109375" bestFit="1" customWidth="1"/>
    <col min="15" max="15" width="17.7109375" customWidth="1"/>
    <col min="16" max="16" width="13.140625" customWidth="1"/>
  </cols>
  <sheetData>
    <row r="1" spans="1:17" s="9" customFormat="1" ht="51" customHeight="1" thickBot="1">
      <c r="A1" s="6" t="s">
        <v>16</v>
      </c>
      <c r="B1" s="3">
        <f>Metrics!A4</f>
        <v>425</v>
      </c>
      <c r="C1" s="6" t="s">
        <v>49</v>
      </c>
      <c r="D1" s="3">
        <f>Metrics!A5</f>
        <v>-34</v>
      </c>
      <c r="E1" s="6" t="s">
        <v>50</v>
      </c>
      <c r="F1" s="4">
        <f>Metrics!A11</f>
        <v>0</v>
      </c>
      <c r="G1" s="147" t="s">
        <v>135</v>
      </c>
      <c r="H1" s="148"/>
      <c r="I1" s="161" t="str">
        <f ca="1">MID(CELL("filename",B1),FIND("]",CELL("filename",B1),1)+1,255)</f>
        <v>Metrics</v>
      </c>
      <c r="J1" s="162"/>
      <c r="K1" s="162"/>
      <c r="L1" s="162"/>
      <c r="M1" s="163"/>
      <c r="N1" s="6" t="s">
        <v>53</v>
      </c>
      <c r="O1" s="5">
        <f>Metrics!$A$6</f>
        <v>1.08</v>
      </c>
      <c r="P1" s="8"/>
      <c r="Q1" s="1"/>
    </row>
    <row r="2" spans="1:17" ht="15.75" thickBot="1"/>
    <row r="3" spans="1:17" ht="15.75" thickBot="1">
      <c r="A3" s="21" t="s">
        <v>22</v>
      </c>
      <c r="B3" s="166" t="s">
        <v>21</v>
      </c>
      <c r="C3" s="167"/>
      <c r="D3" s="168"/>
    </row>
    <row r="4" spans="1:17" s="2" customFormat="1">
      <c r="A4" s="22">
        <v>425</v>
      </c>
      <c r="B4" s="169" t="s">
        <v>17</v>
      </c>
      <c r="C4" s="169"/>
      <c r="D4" s="170"/>
    </row>
    <row r="5" spans="1:17">
      <c r="A5" s="23">
        <f>A4-A10</f>
        <v>-34</v>
      </c>
      <c r="B5" s="164" t="s">
        <v>46</v>
      </c>
      <c r="C5" s="164"/>
      <c r="D5" s="165"/>
    </row>
    <row r="6" spans="1:17">
      <c r="A6" s="24">
        <f>A10/A4</f>
        <v>1.08</v>
      </c>
      <c r="B6" s="164" t="s">
        <v>52</v>
      </c>
      <c r="C6" s="164"/>
      <c r="D6" s="165"/>
    </row>
    <row r="7" spans="1:17">
      <c r="A7" s="25">
        <f>SUM(A8/A10)</f>
        <v>0.30236433873991109</v>
      </c>
      <c r="B7" s="164" t="s">
        <v>54</v>
      </c>
      <c r="C7" s="164"/>
      <c r="D7" s="165"/>
    </row>
    <row r="8" spans="1:17">
      <c r="A8" s="25">
        <f>SUM(Tracking!Q3:Q65428)</f>
        <v>138.78523148161918</v>
      </c>
      <c r="B8" s="164" t="s">
        <v>55</v>
      </c>
      <c r="C8" s="164"/>
      <c r="D8" s="165"/>
    </row>
    <row r="9" spans="1:17">
      <c r="A9" s="23">
        <f>COUNTA(Tracking!A3:A65428)</f>
        <v>459</v>
      </c>
      <c r="B9" s="164" t="s">
        <v>18</v>
      </c>
      <c r="C9" s="164"/>
      <c r="D9" s="165"/>
    </row>
    <row r="10" spans="1:17">
      <c r="A10" s="23">
        <f>COUNTA(Tracking!C3:C65428)</f>
        <v>459</v>
      </c>
      <c r="B10" s="164" t="s">
        <v>47</v>
      </c>
      <c r="C10" s="164"/>
      <c r="D10" s="165"/>
    </row>
    <row r="11" spans="1:17">
      <c r="A11" s="23">
        <f>A9-A10</f>
        <v>0</v>
      </c>
      <c r="B11" s="171" t="s">
        <v>48</v>
      </c>
      <c r="C11" s="171"/>
      <c r="D11" s="172"/>
    </row>
    <row r="12" spans="1:17">
      <c r="A12" s="23">
        <f>SUM(COUNTIF(Tracking!J:J,{2,"?.*"}))</f>
        <v>405</v>
      </c>
      <c r="B12" s="164" t="s">
        <v>433</v>
      </c>
      <c r="C12" s="164"/>
      <c r="D12" s="165"/>
    </row>
    <row r="13" spans="1:17">
      <c r="A13" s="26">
        <f>COUNTIF(Tracking!R:R,TRUE)</f>
        <v>454</v>
      </c>
      <c r="B13" s="164" t="s">
        <v>23</v>
      </c>
      <c r="C13" s="164"/>
      <c r="D13" s="165"/>
    </row>
    <row r="14" spans="1:17">
      <c r="A14" s="26">
        <f>COUNTIF(Tracking!S:S,TRUE)</f>
        <v>456</v>
      </c>
      <c r="B14" s="164" t="s">
        <v>20</v>
      </c>
      <c r="C14" s="164"/>
      <c r="D14" s="165"/>
    </row>
    <row r="15" spans="1:17">
      <c r="A15" s="23">
        <f>COUNTIFS(Tracking!H:H,"*-51*",Tracking!H:H,"*4")</f>
        <v>0</v>
      </c>
      <c r="B15" s="164" t="s">
        <v>136</v>
      </c>
      <c r="C15" s="164"/>
      <c r="D15" s="165"/>
    </row>
    <row r="16" spans="1:17">
      <c r="A16" s="23">
        <f>COUNTIFS(Tracking!H:H,"*-51*",Tracking!H:H,"*6")</f>
        <v>0</v>
      </c>
      <c r="B16" s="164" t="s">
        <v>137</v>
      </c>
      <c r="C16" s="164"/>
      <c r="D16" s="165"/>
    </row>
    <row r="17" spans="1:4">
      <c r="A17" s="23">
        <f>SUM(COUNTIFS(Tracking!H:H,"*-52*",Tracking!H:H,"*4")+COUNTIFS(Tracking!H:H,"*-52*",Tracking!H:H,"*6"))</f>
        <v>0</v>
      </c>
      <c r="B17" s="158" t="s">
        <v>428</v>
      </c>
      <c r="C17" s="159"/>
      <c r="D17" s="160"/>
    </row>
    <row r="18" spans="1:4">
      <c r="A18" s="23">
        <f>COUNTIFS(Tracking!H:H,"*-55*",Tracking!H:H,"*?P")</f>
        <v>246</v>
      </c>
      <c r="B18" s="164" t="s">
        <v>158</v>
      </c>
      <c r="C18" s="164"/>
      <c r="D18" s="165"/>
    </row>
    <row r="19" spans="1:4">
      <c r="A19" s="23"/>
      <c r="B19" s="158" t="s">
        <v>1900</v>
      </c>
      <c r="C19" s="159"/>
      <c r="D19" s="160"/>
    </row>
    <row r="20" spans="1:4">
      <c r="A20" s="23">
        <f>COUNTIFS(Tracking!H:H,"-53*",Tracking!H:H,"*4")</f>
        <v>0</v>
      </c>
      <c r="B20" s="164" t="s">
        <v>145</v>
      </c>
      <c r="C20" s="164"/>
      <c r="D20" s="165"/>
    </row>
    <row r="21" spans="1:4">
      <c r="A21" s="23">
        <f>COUNTIFS(Tracking!H:H,"-53*",Tracking!H:H,"*6")</f>
        <v>0</v>
      </c>
      <c r="B21" s="164" t="s">
        <v>146</v>
      </c>
      <c r="C21" s="164"/>
      <c r="D21" s="165"/>
    </row>
    <row r="22" spans="1:4">
      <c r="A22" s="23">
        <f>SUM(COUNTIFS(Tracking!H:H,"*-54*",Tracking!H:H,"*4")+COUNTIFS(Tracking!H:H,"*-54*",Tracking!H:H,"*6"))</f>
        <v>0</v>
      </c>
      <c r="B22" s="158" t="s">
        <v>429</v>
      </c>
      <c r="C22" s="159"/>
      <c r="D22" s="160"/>
    </row>
    <row r="23" spans="1:4">
      <c r="A23" s="23">
        <f>COUNTIFS(Tracking!H:H,"*-55*",Tracking!H:H,"*?M")</f>
        <v>212</v>
      </c>
      <c r="B23" s="164" t="s">
        <v>157</v>
      </c>
      <c r="C23" s="164"/>
      <c r="D23" s="165"/>
    </row>
    <row r="24" spans="1:4">
      <c r="A24" s="23"/>
      <c r="B24" s="158" t="s">
        <v>1901</v>
      </c>
      <c r="C24" s="159"/>
      <c r="D24" s="160"/>
    </row>
    <row r="25" spans="1:4">
      <c r="A25" s="23">
        <f>SUM(COUNTIF(Tracking!T:T,{"*"})-1)</f>
        <v>0</v>
      </c>
      <c r="B25" s="158" t="s">
        <v>1904</v>
      </c>
      <c r="C25" s="159"/>
      <c r="D25" s="160"/>
    </row>
    <row r="26" spans="1:4">
      <c r="A26" s="23">
        <f>SUM('Inspection Failures'!A4:A28)+SUM('Channel Test Mode Failures'!A4:A33)+SUM('NGTS Total Metrics'!A4:A20)</f>
        <v>155</v>
      </c>
      <c r="B26" s="164" t="s">
        <v>57</v>
      </c>
      <c r="C26" s="164"/>
      <c r="D26" s="165"/>
    </row>
    <row r="27" spans="1:4">
      <c r="A27" s="23">
        <f>SUM(COUNTIF(Tracking!O3:O65428,"*"))</f>
        <v>93</v>
      </c>
      <c r="B27" s="164" t="s">
        <v>51</v>
      </c>
      <c r="C27" s="164"/>
      <c r="D27" s="165"/>
    </row>
    <row r="28" spans="1:4">
      <c r="A28" s="23">
        <f>SUM(COUNTIFS(Tracking!H:H,"-51*",Tracking!H:H,"*4",Tracking!O:O,"*"))</f>
        <v>0</v>
      </c>
      <c r="B28" s="164" t="s">
        <v>159</v>
      </c>
      <c r="C28" s="164"/>
      <c r="D28" s="165"/>
    </row>
    <row r="29" spans="1:4">
      <c r="A29" s="23">
        <f>SUM(COUNTIFS(Tracking!H:H,"-51*",Tracking!H:H,"*6",Tracking!O:O,"*"))</f>
        <v>0</v>
      </c>
      <c r="B29" s="164" t="s">
        <v>160</v>
      </c>
      <c r="C29" s="164"/>
      <c r="D29" s="165"/>
    </row>
    <row r="30" spans="1:4">
      <c r="A30" s="23">
        <f>SUM(COUNTIFS(Tracking!H:H,"*-55*",Tracking!H:H,"*?P",Tracking!O:O,"*"))</f>
        <v>81</v>
      </c>
      <c r="B30" s="164" t="s">
        <v>161</v>
      </c>
      <c r="C30" s="164"/>
      <c r="D30" s="165"/>
    </row>
    <row r="31" spans="1:4">
      <c r="A31" s="23"/>
      <c r="B31" s="158" t="s">
        <v>1902</v>
      </c>
      <c r="C31" s="159"/>
      <c r="D31" s="160"/>
    </row>
    <row r="32" spans="1:4">
      <c r="A32" s="23">
        <f>SUM(COUNTIFS(Tracking!H:H,"*-53*",Tracking!H:H,"*4",Tracking!O:O,"*"))</f>
        <v>0</v>
      </c>
      <c r="B32" s="164" t="s">
        <v>163</v>
      </c>
      <c r="C32" s="164"/>
      <c r="D32" s="165"/>
    </row>
    <row r="33" spans="1:4">
      <c r="A33" s="23">
        <f>SUM(COUNTIFS(Tracking!H:H,"*-53*",Tracking!H:H,"*6",Tracking!O:O,"*"))</f>
        <v>0</v>
      </c>
      <c r="B33" s="164" t="s">
        <v>162</v>
      </c>
      <c r="C33" s="164"/>
      <c r="D33" s="165"/>
    </row>
    <row r="34" spans="1:4">
      <c r="A34" s="23">
        <f>SUM(COUNTIFS(Tracking!H:H,"*-55*",Tracking!H:H,"*?M",Tracking!O:O,"*"))</f>
        <v>12</v>
      </c>
      <c r="B34" s="164" t="s">
        <v>164</v>
      </c>
      <c r="C34" s="164"/>
      <c r="D34" s="165"/>
    </row>
    <row r="35" spans="1:4" ht="15.75" thickBot="1">
      <c r="A35" s="27"/>
      <c r="B35" s="173" t="s">
        <v>1903</v>
      </c>
      <c r="C35" s="173"/>
      <c r="D35" s="174"/>
    </row>
    <row r="38" spans="1:4">
      <c r="C38" s="28"/>
    </row>
    <row r="39" spans="1:4">
      <c r="C39" s="28"/>
    </row>
    <row r="40" spans="1:4">
      <c r="C40" s="28"/>
    </row>
    <row r="41" spans="1:4">
      <c r="C41" s="28"/>
    </row>
    <row r="65513" spans="1:1">
      <c r="A65513" s="29"/>
    </row>
    <row r="65516" spans="1:1">
      <c r="A65516" s="30">
        <f>SUM(A8/A10)*24</f>
        <v>7.2567441297578661</v>
      </c>
    </row>
    <row r="1048566" spans="16384:16384">
      <c r="XFD1048566" t="s">
        <v>130</v>
      </c>
    </row>
    <row r="1048567" spans="16384:16384">
      <c r="XFD1048567" t="s">
        <v>78</v>
      </c>
    </row>
    <row r="1048568" spans="16384:16384">
      <c r="XFD1048568" t="s">
        <v>81</v>
      </c>
    </row>
    <row r="1048569" spans="16384:16384">
      <c r="XFD1048569" t="s">
        <v>131</v>
      </c>
    </row>
    <row r="1048570" spans="16384:16384">
      <c r="XFD1048570" t="s">
        <v>132</v>
      </c>
    </row>
    <row r="1048571" spans="16384:16384">
      <c r="XFD1048571" t="s">
        <v>133</v>
      </c>
    </row>
    <row r="1048572" spans="16384:16384">
      <c r="XFD1048572" t="s">
        <v>134</v>
      </c>
    </row>
  </sheetData>
  <sheetProtection sheet="1" objects="1" scenarios="1" selectLockedCells="1"/>
  <mergeCells count="35">
    <mergeCell ref="B35:D35"/>
    <mergeCell ref="B33:D33"/>
    <mergeCell ref="B34:D34"/>
    <mergeCell ref="B28:D28"/>
    <mergeCell ref="B29:D29"/>
    <mergeCell ref="B30:D30"/>
    <mergeCell ref="B32:D32"/>
    <mergeCell ref="B31:D31"/>
    <mergeCell ref="B16:D16"/>
    <mergeCell ref="B12:D12"/>
    <mergeCell ref="B11:D11"/>
    <mergeCell ref="B10:D10"/>
    <mergeCell ref="B9:D9"/>
    <mergeCell ref="B13:D13"/>
    <mergeCell ref="B3:D3"/>
    <mergeCell ref="B7:D7"/>
    <mergeCell ref="B6:D6"/>
    <mergeCell ref="B5:D5"/>
    <mergeCell ref="B4:D4"/>
    <mergeCell ref="B25:D25"/>
    <mergeCell ref="G1:H1"/>
    <mergeCell ref="I1:M1"/>
    <mergeCell ref="B27:D27"/>
    <mergeCell ref="B26:D26"/>
    <mergeCell ref="B20:D20"/>
    <mergeCell ref="B15:D15"/>
    <mergeCell ref="B14:D14"/>
    <mergeCell ref="B21:D21"/>
    <mergeCell ref="B23:D23"/>
    <mergeCell ref="B18:D18"/>
    <mergeCell ref="B17:D17"/>
    <mergeCell ref="B22:D22"/>
    <mergeCell ref="B19:D19"/>
    <mergeCell ref="B24:D24"/>
    <mergeCell ref="B8:D8"/>
  </mergeCells>
  <conditionalFormatting sqref="O1">
    <cfRule type="iconSet" priority="2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P65513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7109375" style="20" bestFit="1" customWidth="1"/>
    <col min="2" max="2" width="14.140625" style="20" bestFit="1" customWidth="1"/>
    <col min="3" max="3" width="15.140625" style="20" bestFit="1" customWidth="1"/>
    <col min="4" max="4" width="15.5703125" style="20" customWidth="1"/>
    <col min="5" max="5" width="12.28515625" customWidth="1"/>
    <col min="6" max="6" width="17.28515625" customWidth="1"/>
    <col min="7" max="7" width="6.7109375" bestFit="1" customWidth="1"/>
    <col min="8" max="8" width="16.42578125" bestFit="1" customWidth="1"/>
    <col min="9" max="10" width="11.7109375" customWidth="1"/>
    <col min="11" max="11" width="11" customWidth="1"/>
    <col min="12" max="12" width="9.7109375" customWidth="1"/>
    <col min="13" max="13" width="26.42578125" bestFit="1" customWidth="1"/>
    <col min="14" max="14" width="16.7109375" bestFit="1" customWidth="1"/>
    <col min="15" max="15" width="44" bestFit="1" customWidth="1"/>
    <col min="16" max="16" width="13.140625" customWidth="1"/>
  </cols>
  <sheetData>
    <row r="1" spans="1:16" s="7" customFormat="1" ht="51" customHeight="1" thickBot="1">
      <c r="A1" s="6" t="s">
        <v>16</v>
      </c>
      <c r="B1" s="3">
        <f>Metrics!A4</f>
        <v>425</v>
      </c>
      <c r="C1" s="6" t="s">
        <v>49</v>
      </c>
      <c r="D1" s="3">
        <f>Metrics!A5</f>
        <v>-34</v>
      </c>
      <c r="E1" s="6" t="s">
        <v>50</v>
      </c>
      <c r="F1" s="4">
        <f>Metrics!A11</f>
        <v>0</v>
      </c>
      <c r="G1" s="147" t="s">
        <v>135</v>
      </c>
      <c r="H1" s="148"/>
      <c r="I1" s="137" t="str">
        <f ca="1">MID(CELL("filename",B1),FIND("]",CELL("filename",B1),1)+1,255)</f>
        <v>Inspection Failures</v>
      </c>
      <c r="J1" s="138"/>
      <c r="K1" s="138"/>
      <c r="L1" s="139"/>
      <c r="M1" s="6" t="s">
        <v>53</v>
      </c>
      <c r="N1" s="5">
        <f>Metrics!$A$6</f>
        <v>1.08</v>
      </c>
      <c r="O1" s="8"/>
      <c r="P1" s="1"/>
    </row>
    <row r="2" spans="1:16" ht="15.75" thickBot="1"/>
    <row r="3" spans="1:16" ht="15.75" thickBot="1">
      <c r="A3" s="31" t="s">
        <v>22</v>
      </c>
      <c r="B3" s="175" t="s">
        <v>78</v>
      </c>
      <c r="C3" s="176"/>
      <c r="D3" s="177"/>
    </row>
    <row r="4" spans="1:16" s="2" customFormat="1">
      <c r="A4" s="32">
        <f>COUNTIF(Tracking!$O$3:$O$65428,"*"&amp;B4&amp;",*")</f>
        <v>0</v>
      </c>
      <c r="B4" s="169" t="s">
        <v>24</v>
      </c>
      <c r="C4" s="169"/>
      <c r="D4" s="170"/>
    </row>
    <row r="5" spans="1:16">
      <c r="A5" s="23">
        <f>COUNTIF(Tracking!$O$3:$O$65428,"*"&amp;B5&amp;",*")</f>
        <v>1</v>
      </c>
      <c r="B5" s="164" t="s">
        <v>25</v>
      </c>
      <c r="C5" s="164"/>
      <c r="D5" s="165"/>
    </row>
    <row r="6" spans="1:16">
      <c r="A6" s="23">
        <f>COUNTIF(Tracking!$O$3:$O$65428,"*"&amp;B6&amp;",*")</f>
        <v>0</v>
      </c>
      <c r="B6" s="164" t="s">
        <v>26</v>
      </c>
      <c r="C6" s="164"/>
      <c r="D6" s="165"/>
    </row>
    <row r="7" spans="1:16">
      <c r="A7" s="23">
        <f>COUNTIF(Tracking!$O$3:$O$65428,"*"&amp;B7&amp;",*")</f>
        <v>0</v>
      </c>
      <c r="B7" s="164" t="s">
        <v>27</v>
      </c>
      <c r="C7" s="164"/>
      <c r="D7" s="165"/>
    </row>
    <row r="8" spans="1:16">
      <c r="A8" s="23">
        <f>COUNTIF(Tracking!$O$3:$O$65428,"*"&amp;B8&amp;",*")</f>
        <v>1</v>
      </c>
      <c r="B8" s="164" t="s">
        <v>28</v>
      </c>
      <c r="C8" s="164"/>
      <c r="D8" s="165"/>
    </row>
    <row r="9" spans="1:16">
      <c r="A9" s="23">
        <f>COUNTIF(Tracking!$O$3:$O$65428,"*"&amp;B9&amp;",*")</f>
        <v>0</v>
      </c>
      <c r="B9" s="164" t="s">
        <v>29</v>
      </c>
      <c r="C9" s="164"/>
      <c r="D9" s="165"/>
    </row>
    <row r="10" spans="1:16">
      <c r="A10" s="23">
        <f>COUNTIF(Tracking!$O$3:$O$65428,"*"&amp;B10&amp;",*")</f>
        <v>0</v>
      </c>
      <c r="B10" s="164" t="s">
        <v>30</v>
      </c>
      <c r="C10" s="164"/>
      <c r="D10" s="165"/>
    </row>
    <row r="11" spans="1:16">
      <c r="A11" s="23">
        <f>COUNTIF(Tracking!$O$3:$O$65428,"*"&amp;B11&amp;",*")</f>
        <v>1</v>
      </c>
      <c r="B11" s="164" t="s">
        <v>31</v>
      </c>
      <c r="C11" s="164"/>
      <c r="D11" s="165"/>
    </row>
    <row r="12" spans="1:16">
      <c r="A12" s="23">
        <f>COUNTIF(Tracking!$O$3:$O$65428,"*"&amp;B12&amp;",*")</f>
        <v>1</v>
      </c>
      <c r="B12" s="164" t="s">
        <v>32</v>
      </c>
      <c r="C12" s="164"/>
      <c r="D12" s="165"/>
    </row>
    <row r="13" spans="1:16">
      <c r="A13" s="23">
        <f>COUNTIF(Tracking!$O$3:$O$65428,"*"&amp;B13&amp;",*")</f>
        <v>0</v>
      </c>
      <c r="B13" s="164" t="s">
        <v>33</v>
      </c>
      <c r="C13" s="164"/>
      <c r="D13" s="165"/>
    </row>
    <row r="14" spans="1:16">
      <c r="A14" s="23">
        <f>COUNTIF(Tracking!$O$3:$O$65428,"*"&amp;B14&amp;",*")</f>
        <v>0</v>
      </c>
      <c r="B14" s="164" t="s">
        <v>45</v>
      </c>
      <c r="C14" s="164"/>
      <c r="D14" s="165"/>
    </row>
    <row r="15" spans="1:16">
      <c r="A15" s="23">
        <f>COUNTIF(Tracking!$O$3:$O$65428,"*"&amp;B15&amp;",*")</f>
        <v>0</v>
      </c>
      <c r="B15" s="164" t="s">
        <v>34</v>
      </c>
      <c r="C15" s="164"/>
      <c r="D15" s="165"/>
    </row>
    <row r="16" spans="1:16">
      <c r="A16" s="23">
        <f>COUNTIF(Tracking!$O$3:$O$65428,"*"&amp;B16&amp;",*")</f>
        <v>0</v>
      </c>
      <c r="B16" s="164" t="s">
        <v>35</v>
      </c>
      <c r="C16" s="164"/>
      <c r="D16" s="165"/>
    </row>
    <row r="17" spans="1:4">
      <c r="A17" s="23">
        <f>COUNTIF(Tracking!$O$3:$O$65428,"*"&amp;B17&amp;",*")</f>
        <v>0</v>
      </c>
      <c r="B17" s="164" t="s">
        <v>36</v>
      </c>
      <c r="C17" s="164"/>
      <c r="D17" s="165"/>
    </row>
    <row r="18" spans="1:4">
      <c r="A18" s="23">
        <f>COUNTIF(Tracking!$O$3:$O$65428,"*"&amp;B18&amp;",*")</f>
        <v>0</v>
      </c>
      <c r="B18" s="164" t="s">
        <v>37</v>
      </c>
      <c r="C18" s="164"/>
      <c r="D18" s="165"/>
    </row>
    <row r="19" spans="1:4">
      <c r="A19" s="23">
        <f>COUNTIF(Tracking!$O$3:$O$65428,"*"&amp;B19&amp;",*")</f>
        <v>0</v>
      </c>
      <c r="B19" s="164" t="s">
        <v>38</v>
      </c>
      <c r="C19" s="164"/>
      <c r="D19" s="165"/>
    </row>
    <row r="20" spans="1:4">
      <c r="A20" s="23">
        <f>COUNTIF(Tracking!$O$3:$O$65428,"*"&amp;B20&amp;",*")</f>
        <v>0</v>
      </c>
      <c r="B20" s="164" t="s">
        <v>39</v>
      </c>
      <c r="C20" s="164"/>
      <c r="D20" s="165"/>
    </row>
    <row r="21" spans="1:4">
      <c r="A21" s="23">
        <f>COUNTIF(Tracking!$O$3:$O$65428,"*"&amp;B21&amp;",*")</f>
        <v>0</v>
      </c>
      <c r="B21" s="164" t="s">
        <v>40</v>
      </c>
      <c r="C21" s="164"/>
      <c r="D21" s="165"/>
    </row>
    <row r="22" spans="1:4">
      <c r="A22" s="23">
        <f>COUNTIF(Tracking!$O$3:$O$65428,"*"&amp;B22&amp;",*")</f>
        <v>0</v>
      </c>
      <c r="B22" s="164" t="s">
        <v>41</v>
      </c>
      <c r="C22" s="164"/>
      <c r="D22" s="165"/>
    </row>
    <row r="23" spans="1:4">
      <c r="A23" s="23">
        <f>COUNTIF(Tracking!$O$3:$O$65428,"*"&amp;B23&amp;",*")</f>
        <v>1</v>
      </c>
      <c r="B23" s="164" t="s">
        <v>42</v>
      </c>
      <c r="C23" s="164"/>
      <c r="D23" s="165"/>
    </row>
    <row r="24" spans="1:4">
      <c r="A24" s="23">
        <f>COUNTIF(Tracking!$O$3:$O$65428,"*"&amp;B24&amp;",*")</f>
        <v>0</v>
      </c>
      <c r="B24" s="164" t="s">
        <v>43</v>
      </c>
      <c r="C24" s="164"/>
      <c r="D24" s="165"/>
    </row>
    <row r="25" spans="1:4">
      <c r="A25" s="23">
        <f>COUNTIF(Tracking!$O$3:$O$65428,"*"&amp;B25&amp;",*")</f>
        <v>0</v>
      </c>
      <c r="B25" s="164" t="s">
        <v>44</v>
      </c>
      <c r="C25" s="164"/>
      <c r="D25" s="165"/>
    </row>
    <row r="26" spans="1:4">
      <c r="A26" s="23">
        <f>COUNTIF(Tracking!$O$3:$O$65428,"*"&amp;B26&amp;",*")</f>
        <v>1</v>
      </c>
      <c r="B26" s="164" t="s">
        <v>185</v>
      </c>
      <c r="C26" s="164"/>
      <c r="D26" s="165"/>
    </row>
    <row r="27" spans="1:4">
      <c r="A27" s="23">
        <f>COUNTIF(Tracking!$O$3:$O$65428,"*"&amp;B27&amp;",*")</f>
        <v>0</v>
      </c>
      <c r="B27" s="180" t="s">
        <v>79</v>
      </c>
      <c r="C27" s="180"/>
      <c r="D27" s="181"/>
    </row>
    <row r="28" spans="1:4" ht="15.75" thickBot="1">
      <c r="A28" s="27">
        <f>COUNTIF(Tracking!$O$3:$O$65428,"*"&amp;B28&amp;",*")</f>
        <v>1</v>
      </c>
      <c r="B28" s="178" t="s">
        <v>80</v>
      </c>
      <c r="C28" s="178"/>
      <c r="D28" s="179"/>
    </row>
    <row r="65510" spans="1:1">
      <c r="A65510" s="29"/>
    </row>
    <row r="65513" spans="1:1">
      <c r="A65513" s="30"/>
    </row>
  </sheetData>
  <sheetProtection sheet="1" objects="1" scenarios="1" selectLockedCells="1"/>
  <mergeCells count="28">
    <mergeCell ref="B17:D17"/>
    <mergeCell ref="B18:D18"/>
    <mergeCell ref="B28:D28"/>
    <mergeCell ref="B27:D27"/>
    <mergeCell ref="B26:D26"/>
    <mergeCell ref="B25:D25"/>
    <mergeCell ref="B24:D24"/>
    <mergeCell ref="B23:D23"/>
    <mergeCell ref="B22:D22"/>
    <mergeCell ref="B21:D21"/>
    <mergeCell ref="B20:D20"/>
    <mergeCell ref="B19:D19"/>
    <mergeCell ref="B3:D3"/>
    <mergeCell ref="G1:H1"/>
    <mergeCell ref="I1:L1"/>
    <mergeCell ref="B15:D15"/>
    <mergeCell ref="B16:D16"/>
    <mergeCell ref="B4:D4"/>
    <mergeCell ref="B7:D7"/>
    <mergeCell ref="B6:D6"/>
    <mergeCell ref="B5:D5"/>
    <mergeCell ref="B14:D14"/>
    <mergeCell ref="B8:D8"/>
    <mergeCell ref="B9:D9"/>
    <mergeCell ref="B10:D10"/>
    <mergeCell ref="B11:D11"/>
    <mergeCell ref="B12:D12"/>
    <mergeCell ref="B13:D13"/>
  </mergeCells>
  <conditionalFormatting sqref="N1">
    <cfRule type="iconSet" priority="3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N1">
    <cfRule type="iconSet" priority="1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P65516"/>
  <sheetViews>
    <sheetView workbookViewId="0">
      <pane ySplit="2" topLeftCell="A3" activePane="bottomLeft" state="frozen"/>
      <selection pane="bottomLeft" activeCell="A3" sqref="A3:XFD3"/>
    </sheetView>
  </sheetViews>
  <sheetFormatPr defaultRowHeight="15"/>
  <cols>
    <col min="1" max="1" width="13.7109375" style="20" bestFit="1" customWidth="1"/>
    <col min="2" max="2" width="14.140625" style="20" bestFit="1" customWidth="1"/>
    <col min="3" max="3" width="15.140625" style="20" bestFit="1" customWidth="1"/>
    <col min="4" max="4" width="15.5703125" style="20" customWidth="1"/>
    <col min="5" max="5" width="12.28515625" customWidth="1"/>
    <col min="6" max="6" width="17.28515625" customWidth="1"/>
    <col min="7" max="7" width="6.7109375" bestFit="1" customWidth="1"/>
    <col min="8" max="8" width="16.42578125" bestFit="1" customWidth="1"/>
    <col min="9" max="10" width="11.7109375" customWidth="1"/>
    <col min="11" max="11" width="11" customWidth="1"/>
    <col min="12" max="12" width="9.7109375" customWidth="1"/>
    <col min="13" max="13" width="26.42578125" bestFit="1" customWidth="1"/>
    <col min="14" max="14" width="16.7109375" bestFit="1" customWidth="1"/>
    <col min="15" max="15" width="44" bestFit="1" customWidth="1"/>
    <col min="16" max="16" width="13.140625" customWidth="1"/>
  </cols>
  <sheetData>
    <row r="1" spans="1:16" s="7" customFormat="1" ht="51" customHeight="1" thickBot="1">
      <c r="A1" s="6" t="s">
        <v>16</v>
      </c>
      <c r="B1" s="3">
        <f>Metrics!A4</f>
        <v>425</v>
      </c>
      <c r="C1" s="6" t="s">
        <v>49</v>
      </c>
      <c r="D1" s="3">
        <f>Metrics!A5</f>
        <v>-34</v>
      </c>
      <c r="E1" s="6" t="s">
        <v>50</v>
      </c>
      <c r="F1" s="4">
        <f>Metrics!A11</f>
        <v>0</v>
      </c>
      <c r="G1" s="147" t="s">
        <v>135</v>
      </c>
      <c r="H1" s="148"/>
      <c r="I1" s="137" t="str">
        <f ca="1">MID(CELL("filename",B1),FIND("]",CELL("filename",B1),1)+1,255)</f>
        <v>Channel Test Mode Failures</v>
      </c>
      <c r="J1" s="138"/>
      <c r="K1" s="138"/>
      <c r="L1" s="139"/>
      <c r="M1" s="6" t="s">
        <v>53</v>
      </c>
      <c r="N1" s="5">
        <f>Metrics!$A$6</f>
        <v>1.08</v>
      </c>
      <c r="O1" s="8"/>
      <c r="P1" s="1"/>
    </row>
    <row r="2" spans="1:16" ht="15.75" thickBot="1"/>
    <row r="3" spans="1:16" ht="15.75" thickBot="1">
      <c r="A3" s="31" t="s">
        <v>22</v>
      </c>
      <c r="B3" s="175" t="s">
        <v>81</v>
      </c>
      <c r="C3" s="176"/>
      <c r="D3" s="177"/>
    </row>
    <row r="4" spans="1:16" s="2" customFormat="1">
      <c r="A4" s="32">
        <f>COUNTIF(Tracking!$O$3:$O$65428,"*"&amp;B4&amp;",*")</f>
        <v>0</v>
      </c>
      <c r="B4" s="169" t="s">
        <v>82</v>
      </c>
      <c r="C4" s="169" t="s">
        <v>82</v>
      </c>
      <c r="D4" s="170" t="s">
        <v>82</v>
      </c>
    </row>
    <row r="5" spans="1:16">
      <c r="A5" s="23">
        <f>COUNTIF(Tracking!$O$3:$O$65428,"*"&amp;B5&amp;",*")</f>
        <v>0</v>
      </c>
      <c r="B5" s="164" t="s">
        <v>83</v>
      </c>
      <c r="C5" s="164" t="s">
        <v>83</v>
      </c>
      <c r="D5" s="165" t="s">
        <v>83</v>
      </c>
    </row>
    <row r="6" spans="1:16">
      <c r="A6" s="23">
        <f>COUNTIF(Tracking!$O$3:$O$65428,"*"&amp;B6&amp;",*")</f>
        <v>0</v>
      </c>
      <c r="B6" s="164" t="s">
        <v>84</v>
      </c>
      <c r="C6" s="164" t="s">
        <v>84</v>
      </c>
      <c r="D6" s="165" t="s">
        <v>84</v>
      </c>
    </row>
    <row r="7" spans="1:16">
      <c r="A7" s="23">
        <f>COUNTIF(Tracking!$O$3:$O$65428,"*"&amp;B7&amp;",*")</f>
        <v>1</v>
      </c>
      <c r="B7" s="164" t="s">
        <v>85</v>
      </c>
      <c r="C7" s="164" t="s">
        <v>85</v>
      </c>
      <c r="D7" s="165" t="s">
        <v>85</v>
      </c>
    </row>
    <row r="8" spans="1:16">
      <c r="A8" s="23">
        <f>COUNTIF(Tracking!$O$3:$O$65428,"*"&amp;B8&amp;",*")</f>
        <v>0</v>
      </c>
      <c r="B8" s="164" t="s">
        <v>86</v>
      </c>
      <c r="C8" s="164" t="s">
        <v>86</v>
      </c>
      <c r="D8" s="165" t="s">
        <v>86</v>
      </c>
    </row>
    <row r="9" spans="1:16">
      <c r="A9" s="23">
        <f>COUNTIF(Tracking!$O$3:$O$65428,"*"&amp;B9&amp;",*")</f>
        <v>0</v>
      </c>
      <c r="B9" s="164" t="s">
        <v>87</v>
      </c>
      <c r="C9" s="164" t="s">
        <v>87</v>
      </c>
      <c r="D9" s="165" t="s">
        <v>87</v>
      </c>
    </row>
    <row r="10" spans="1:16">
      <c r="A10" s="23">
        <f>COUNTIF(Tracking!$O$3:$O$65428,"*"&amp;B10&amp;",*")</f>
        <v>0</v>
      </c>
      <c r="B10" s="164" t="s">
        <v>88</v>
      </c>
      <c r="C10" s="164" t="s">
        <v>88</v>
      </c>
      <c r="D10" s="165" t="s">
        <v>88</v>
      </c>
    </row>
    <row r="11" spans="1:16">
      <c r="A11" s="23">
        <f>COUNTIF(Tracking!$O$3:$O$65428,"*"&amp;B11&amp;",*")</f>
        <v>0</v>
      </c>
      <c r="B11" s="164" t="s">
        <v>89</v>
      </c>
      <c r="C11" s="164" t="s">
        <v>89</v>
      </c>
      <c r="D11" s="165" t="s">
        <v>89</v>
      </c>
    </row>
    <row r="12" spans="1:16">
      <c r="A12" s="23">
        <f>COUNTIF(Tracking!$O$3:$O$65428,"*"&amp;B12&amp;",*")</f>
        <v>0</v>
      </c>
      <c r="B12" s="185" t="s">
        <v>182</v>
      </c>
      <c r="C12" s="185" t="s">
        <v>89</v>
      </c>
      <c r="D12" s="186" t="s">
        <v>89</v>
      </c>
    </row>
    <row r="13" spans="1:16">
      <c r="A13" s="23">
        <f>COUNTIF(Tracking!$O$3:$O$65428,"*"&amp;B13&amp;",*")</f>
        <v>0</v>
      </c>
      <c r="B13" s="182" t="s">
        <v>183</v>
      </c>
      <c r="C13" s="183"/>
      <c r="D13" s="184"/>
    </row>
    <row r="14" spans="1:16">
      <c r="A14" s="23">
        <f>COUNTIF(Tracking!$O$3:$O$65428,"*"&amp;B14&amp;",*")</f>
        <v>0</v>
      </c>
      <c r="B14" s="182" t="s">
        <v>184</v>
      </c>
      <c r="C14" s="183"/>
      <c r="D14" s="184"/>
    </row>
    <row r="15" spans="1:16">
      <c r="A15" s="23">
        <f>COUNTIF(Tracking!$O$3:$O$65428,"*"&amp;B15&amp;",*")</f>
        <v>0</v>
      </c>
      <c r="B15" s="182" t="s">
        <v>186</v>
      </c>
      <c r="C15" s="183"/>
      <c r="D15" s="184"/>
    </row>
    <row r="16" spans="1:16">
      <c r="A16" s="23">
        <f>COUNTIF(Tracking!$O$3:$O$65428,"*"&amp;B16&amp;",*")</f>
        <v>0</v>
      </c>
      <c r="B16" s="164" t="s">
        <v>90</v>
      </c>
      <c r="C16" s="164" t="s">
        <v>90</v>
      </c>
      <c r="D16" s="165" t="s">
        <v>90</v>
      </c>
    </row>
    <row r="17" spans="1:4">
      <c r="A17" s="23">
        <f>COUNTIF(Tracking!$O$3:$O$65428,"*"&amp;B17&amp;",*")</f>
        <v>0</v>
      </c>
      <c r="B17" s="164" t="s">
        <v>91</v>
      </c>
      <c r="C17" s="164" t="s">
        <v>91</v>
      </c>
      <c r="D17" s="165" t="s">
        <v>91</v>
      </c>
    </row>
    <row r="18" spans="1:4">
      <c r="A18" s="23">
        <f>COUNTIF(Tracking!$O$3:$O$65428,"*"&amp;B18&amp;",*")</f>
        <v>0</v>
      </c>
      <c r="B18" s="164" t="s">
        <v>92</v>
      </c>
      <c r="C18" s="164" t="s">
        <v>92</v>
      </c>
      <c r="D18" s="165" t="s">
        <v>92</v>
      </c>
    </row>
    <row r="19" spans="1:4">
      <c r="A19" s="23">
        <f>COUNTIF(Tracking!$O$3:$O$65428,"*"&amp;B19&amp;",*")</f>
        <v>0</v>
      </c>
      <c r="B19" s="164" t="s">
        <v>93</v>
      </c>
      <c r="C19" s="164" t="s">
        <v>93</v>
      </c>
      <c r="D19" s="165" t="s">
        <v>93</v>
      </c>
    </row>
    <row r="20" spans="1:4">
      <c r="A20" s="23">
        <f>COUNTIF(Tracking!$O$3:$O$65428,"*"&amp;B20&amp;",*")</f>
        <v>0</v>
      </c>
      <c r="B20" s="164" t="s">
        <v>94</v>
      </c>
      <c r="C20" s="164" t="s">
        <v>94</v>
      </c>
      <c r="D20" s="165" t="s">
        <v>94</v>
      </c>
    </row>
    <row r="21" spans="1:4">
      <c r="A21" s="23">
        <f>COUNTIF(Tracking!$O$3:$O$65428,"*"&amp;B21&amp;",*")</f>
        <v>0</v>
      </c>
      <c r="B21" s="164" t="s">
        <v>95</v>
      </c>
      <c r="C21" s="164" t="s">
        <v>95</v>
      </c>
      <c r="D21" s="165" t="s">
        <v>95</v>
      </c>
    </row>
    <row r="22" spans="1:4">
      <c r="A22" s="23">
        <f>COUNTIF(Tracking!$O$3:$O$65428,"*"&amp;B22&amp;",*")</f>
        <v>0</v>
      </c>
      <c r="B22" s="164" t="s">
        <v>96</v>
      </c>
      <c r="C22" s="164" t="s">
        <v>96</v>
      </c>
      <c r="D22" s="165" t="s">
        <v>96</v>
      </c>
    </row>
    <row r="23" spans="1:4">
      <c r="A23" s="23">
        <f>COUNTIF(Tracking!$O$3:$O$65428,"*"&amp;B23&amp;",*")</f>
        <v>0</v>
      </c>
      <c r="B23" s="164" t="s">
        <v>97</v>
      </c>
      <c r="C23" s="164" t="s">
        <v>97</v>
      </c>
      <c r="D23" s="165" t="s">
        <v>97</v>
      </c>
    </row>
    <row r="24" spans="1:4">
      <c r="A24" s="23">
        <f>COUNTIF(Tracking!$O$3:$O$65428,"*"&amp;B24&amp;",*")</f>
        <v>0</v>
      </c>
      <c r="B24" s="164" t="s">
        <v>98</v>
      </c>
      <c r="C24" s="164" t="s">
        <v>98</v>
      </c>
      <c r="D24" s="165" t="s">
        <v>98</v>
      </c>
    </row>
    <row r="25" spans="1:4">
      <c r="A25" s="23">
        <f>COUNTIF(Tracking!$O$3:$O$65428,"*"&amp;B25&amp;",*")</f>
        <v>0</v>
      </c>
      <c r="B25" s="164" t="s">
        <v>99</v>
      </c>
      <c r="C25" s="164" t="s">
        <v>99</v>
      </c>
      <c r="D25" s="165" t="s">
        <v>99</v>
      </c>
    </row>
    <row r="26" spans="1:4">
      <c r="A26" s="23">
        <f>COUNTIF(Tracking!$O$3:$O$65428,"*"&amp;B26&amp;",*")</f>
        <v>0</v>
      </c>
      <c r="B26" s="164" t="s">
        <v>100</v>
      </c>
      <c r="C26" s="164" t="s">
        <v>100</v>
      </c>
      <c r="D26" s="165" t="s">
        <v>100</v>
      </c>
    </row>
    <row r="27" spans="1:4">
      <c r="A27" s="23">
        <f>COUNTIF(Tracking!$O$3:$O$65428,"*"&amp;B27&amp;",*")</f>
        <v>0</v>
      </c>
      <c r="B27" s="164" t="s">
        <v>101</v>
      </c>
      <c r="C27" s="164" t="s">
        <v>101</v>
      </c>
      <c r="D27" s="165" t="s">
        <v>101</v>
      </c>
    </row>
    <row r="28" spans="1:4">
      <c r="A28" s="23">
        <f>COUNTIF(Tracking!$O$3:$O$65428,"*"&amp;B28&amp;",*")</f>
        <v>0</v>
      </c>
      <c r="B28" s="164" t="s">
        <v>102</v>
      </c>
      <c r="C28" s="164" t="s">
        <v>102</v>
      </c>
      <c r="D28" s="165" t="s">
        <v>102</v>
      </c>
    </row>
    <row r="29" spans="1:4">
      <c r="A29" s="23">
        <f>COUNTIF(Tracking!$O$3:$O$65428,"*"&amp;B29&amp;",*")</f>
        <v>0</v>
      </c>
      <c r="B29" s="164" t="s">
        <v>103</v>
      </c>
      <c r="C29" s="164" t="s">
        <v>103</v>
      </c>
      <c r="D29" s="165" t="s">
        <v>103</v>
      </c>
    </row>
    <row r="30" spans="1:4">
      <c r="A30" s="23">
        <f>COUNTIF(Tracking!$O$3:$O$65428,"*"&amp;B30&amp;",*")</f>
        <v>0</v>
      </c>
      <c r="B30" s="164" t="s">
        <v>104</v>
      </c>
      <c r="C30" s="164" t="s">
        <v>104</v>
      </c>
      <c r="D30" s="165" t="s">
        <v>104</v>
      </c>
    </row>
    <row r="31" spans="1:4">
      <c r="A31" s="23">
        <f>COUNTIF(Tracking!$O$3:$O$65428,"*"&amp;B31&amp;",*")</f>
        <v>0</v>
      </c>
      <c r="B31" s="180" t="s">
        <v>105</v>
      </c>
      <c r="C31" s="180" t="s">
        <v>105</v>
      </c>
      <c r="D31" s="181" t="s">
        <v>105</v>
      </c>
    </row>
    <row r="32" spans="1:4">
      <c r="A32" s="23">
        <f>COUNTIF(Tracking!$O$3:$O$65428,"*"&amp;B32&amp;",*")</f>
        <v>0</v>
      </c>
      <c r="B32" s="180" t="s">
        <v>106</v>
      </c>
      <c r="C32" s="180"/>
      <c r="D32" s="181"/>
    </row>
    <row r="33" spans="1:4">
      <c r="A33" s="23">
        <f>COUNTIF(Tracking!$O$3:$O$65428,"*"&amp;B33&amp;",*")</f>
        <v>0</v>
      </c>
      <c r="B33" s="180" t="s">
        <v>107</v>
      </c>
      <c r="C33" s="180"/>
      <c r="D33" s="181"/>
    </row>
    <row r="34" spans="1:4">
      <c r="A34" s="23">
        <f>COUNTIF(Tracking!$O$3:$O$65428,"*"&amp;B34&amp;",*")</f>
        <v>0</v>
      </c>
      <c r="B34" s="180" t="s">
        <v>108</v>
      </c>
      <c r="C34" s="180"/>
      <c r="D34" s="181"/>
    </row>
    <row r="35" spans="1:4">
      <c r="A35" s="23">
        <f>COUNTIF(Tracking!$O$3:$O$65428,"*"&amp;B35&amp;",*")</f>
        <v>0</v>
      </c>
      <c r="B35" s="180" t="s">
        <v>109</v>
      </c>
      <c r="C35" s="180"/>
      <c r="D35" s="181"/>
    </row>
    <row r="36" spans="1:4">
      <c r="A36" s="23">
        <f>COUNTIF(Tracking!$O$3:$O$65428,"*"&amp;B36&amp;",*")</f>
        <v>0</v>
      </c>
      <c r="B36" s="180" t="s">
        <v>110</v>
      </c>
      <c r="C36" s="180"/>
      <c r="D36" s="181"/>
    </row>
    <row r="37" spans="1:4">
      <c r="A37" s="23">
        <f>COUNTIF(Tracking!$O$3:$O$65428,"*"&amp;B37&amp;",*")</f>
        <v>0</v>
      </c>
      <c r="B37" s="180" t="s">
        <v>111</v>
      </c>
      <c r="C37" s="180"/>
      <c r="D37" s="181"/>
    </row>
    <row r="38" spans="1:4">
      <c r="A38" s="23">
        <f>COUNTIF(Tracking!$O$3:$O$65428,"*"&amp;B38&amp;",*")</f>
        <v>0</v>
      </c>
      <c r="B38" s="180" t="s">
        <v>112</v>
      </c>
      <c r="C38" s="180"/>
      <c r="D38" s="181"/>
    </row>
    <row r="39" spans="1:4">
      <c r="A39" s="23">
        <f>COUNTIF(Tracking!$O$3:$O$65428,"*"&amp;B39&amp;",*")</f>
        <v>0</v>
      </c>
      <c r="B39" s="180" t="s">
        <v>113</v>
      </c>
      <c r="C39" s="180"/>
      <c r="D39" s="181"/>
    </row>
    <row r="40" spans="1:4">
      <c r="A40" s="23">
        <f>COUNTIF(Tracking!$O$3:$O$65428,"*"&amp;B40&amp;",*")</f>
        <v>0</v>
      </c>
      <c r="B40" s="180" t="s">
        <v>114</v>
      </c>
      <c r="C40" s="180"/>
      <c r="D40" s="181"/>
    </row>
    <row r="41" spans="1:4">
      <c r="A41" s="23">
        <f>COUNTIF(Tracking!$O$3:$O$65428,"*"&amp;B41&amp;",*")</f>
        <v>0</v>
      </c>
      <c r="B41" s="180" t="s">
        <v>115</v>
      </c>
      <c r="C41" s="180"/>
      <c r="D41" s="181"/>
    </row>
    <row r="42" spans="1:4">
      <c r="A42" s="23">
        <f>COUNTIF(Tracking!$O$3:$O$65428,"*"&amp;B42&amp;",*")</f>
        <v>0</v>
      </c>
      <c r="B42" s="180" t="s">
        <v>116</v>
      </c>
      <c r="C42" s="180"/>
      <c r="D42" s="181"/>
    </row>
    <row r="43" spans="1:4">
      <c r="A43" s="23">
        <f>COUNTIF(Tracking!$O$3:$O$65428,"*"&amp;B43&amp;",*")</f>
        <v>0</v>
      </c>
      <c r="B43" s="180" t="s">
        <v>117</v>
      </c>
      <c r="C43" s="180"/>
      <c r="D43" s="181"/>
    </row>
    <row r="44" spans="1:4">
      <c r="A44" s="23">
        <f>COUNTIF(Tracking!$O$3:$O$65428,"*"&amp;B44&amp;",*")</f>
        <v>0</v>
      </c>
      <c r="B44" s="180" t="s">
        <v>118</v>
      </c>
      <c r="C44" s="180"/>
      <c r="D44" s="181"/>
    </row>
    <row r="45" spans="1:4">
      <c r="A45" s="23">
        <f>COUNTIF(Tracking!$O$3:$O$65428,"*"&amp;B45&amp;",*")</f>
        <v>0</v>
      </c>
      <c r="B45" s="180" t="s">
        <v>119</v>
      </c>
      <c r="C45" s="180"/>
      <c r="D45" s="181"/>
    </row>
    <row r="46" spans="1:4">
      <c r="A46" s="23">
        <f>COUNTIF(Tracking!$O$3:$O$65428,"*"&amp;B46&amp;",*")</f>
        <v>0</v>
      </c>
      <c r="B46" s="180" t="s">
        <v>120</v>
      </c>
      <c r="C46" s="180"/>
      <c r="D46" s="181"/>
    </row>
    <row r="47" spans="1:4">
      <c r="A47" s="23">
        <f>COUNTIF(Tracking!$O$3:$O$65428,"*"&amp;B47&amp;",*")</f>
        <v>0</v>
      </c>
      <c r="B47" s="180" t="s">
        <v>121</v>
      </c>
      <c r="C47" s="180"/>
      <c r="D47" s="181"/>
    </row>
    <row r="48" spans="1:4">
      <c r="A48" s="23">
        <f>COUNTIF(Tracking!$O$3:$O$65428,"*"&amp;B48&amp;",*")</f>
        <v>0</v>
      </c>
      <c r="B48" s="180" t="s">
        <v>122</v>
      </c>
      <c r="C48" s="180"/>
      <c r="D48" s="181"/>
    </row>
    <row r="49" spans="1:4">
      <c r="A49" s="23">
        <f>COUNTIF(Tracking!$O$3:$O$65428,"*"&amp;B49&amp;",*")</f>
        <v>0</v>
      </c>
      <c r="B49" s="180" t="s">
        <v>123</v>
      </c>
      <c r="C49" s="180"/>
      <c r="D49" s="181"/>
    </row>
    <row r="50" spans="1:4" ht="15.75" thickBot="1">
      <c r="A50" s="27">
        <f>COUNTIF(Tracking!$O$3:$O$65428,"*"&amp;B50&amp;",*")</f>
        <v>0</v>
      </c>
      <c r="B50" s="178" t="s">
        <v>124</v>
      </c>
      <c r="C50" s="178"/>
      <c r="D50" s="179"/>
    </row>
    <row r="65513" spans="1:1">
      <c r="A65513" s="29"/>
    </row>
    <row r="65516" spans="1:1">
      <c r="A65516" s="30"/>
    </row>
  </sheetData>
  <sheetProtection sheet="1" objects="1" scenarios="1" selectLockedCells="1"/>
  <mergeCells count="50">
    <mergeCell ref="B23:D23"/>
    <mergeCell ref="B37:D37"/>
    <mergeCell ref="B36:D36"/>
    <mergeCell ref="B35:D35"/>
    <mergeCell ref="B34:D34"/>
    <mergeCell ref="B33:D33"/>
    <mergeCell ref="B31:D31"/>
    <mergeCell ref="B32:D32"/>
    <mergeCell ref="B18:D18"/>
    <mergeCell ref="B19:D19"/>
    <mergeCell ref="B20:D20"/>
    <mergeCell ref="B21:D21"/>
    <mergeCell ref="B22:D22"/>
    <mergeCell ref="B50:D50"/>
    <mergeCell ref="B49:D49"/>
    <mergeCell ref="B48:D48"/>
    <mergeCell ref="B47:D47"/>
    <mergeCell ref="B46:D46"/>
    <mergeCell ref="B14:D14"/>
    <mergeCell ref="B45:D45"/>
    <mergeCell ref="B44:D44"/>
    <mergeCell ref="B24:D24"/>
    <mergeCell ref="B25:D25"/>
    <mergeCell ref="B26:D26"/>
    <mergeCell ref="B27:D27"/>
    <mergeCell ref="B28:D28"/>
    <mergeCell ref="B29:D29"/>
    <mergeCell ref="B43:D43"/>
    <mergeCell ref="B42:D42"/>
    <mergeCell ref="B41:D41"/>
    <mergeCell ref="B40:D40"/>
    <mergeCell ref="B39:D39"/>
    <mergeCell ref="B38:D38"/>
    <mergeCell ref="B30:D30"/>
    <mergeCell ref="B15:D15"/>
    <mergeCell ref="I1:L1"/>
    <mergeCell ref="B17:D17"/>
    <mergeCell ref="B3:D3"/>
    <mergeCell ref="B4:D4"/>
    <mergeCell ref="B5:D5"/>
    <mergeCell ref="B6:D6"/>
    <mergeCell ref="B7:D7"/>
    <mergeCell ref="B8:D8"/>
    <mergeCell ref="B9:D9"/>
    <mergeCell ref="B10:D10"/>
    <mergeCell ref="B11:D11"/>
    <mergeCell ref="B16:D16"/>
    <mergeCell ref="G1:H1"/>
    <mergeCell ref="B12:D12"/>
    <mergeCell ref="B13:D13"/>
  </mergeCells>
  <conditionalFormatting sqref="N1">
    <cfRule type="iconSet" priority="3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N1">
    <cfRule type="iconSet" priority="1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P22"/>
  <sheetViews>
    <sheetView workbookViewId="0">
      <pane ySplit="2" topLeftCell="A3" activePane="bottomLeft" state="frozen"/>
      <selection pane="bottomLeft" activeCell="B3" sqref="B3:D3"/>
    </sheetView>
  </sheetViews>
  <sheetFormatPr defaultRowHeight="15"/>
  <cols>
    <col min="1" max="1" width="13.7109375" style="20" bestFit="1" customWidth="1"/>
    <col min="2" max="2" width="14.140625" style="20" bestFit="1" customWidth="1"/>
    <col min="3" max="3" width="15.140625" style="20" bestFit="1" customWidth="1"/>
    <col min="4" max="4" width="15.5703125" style="20" customWidth="1"/>
    <col min="5" max="5" width="12.28515625" customWidth="1"/>
    <col min="6" max="6" width="17.28515625" customWidth="1"/>
    <col min="7" max="7" width="6.7109375" bestFit="1" customWidth="1"/>
    <col min="8" max="8" width="16.42578125" bestFit="1" customWidth="1"/>
    <col min="9" max="10" width="11.7109375" customWidth="1"/>
    <col min="11" max="11" width="11" customWidth="1"/>
    <col min="12" max="12" width="9.7109375" customWidth="1"/>
    <col min="13" max="13" width="26.42578125" bestFit="1" customWidth="1"/>
    <col min="14" max="14" width="16.7109375" bestFit="1" customWidth="1"/>
    <col min="15" max="15" width="44" bestFit="1" customWidth="1"/>
    <col min="16" max="16" width="13.140625" customWidth="1"/>
  </cols>
  <sheetData>
    <row r="1" spans="1:16" s="7" customFormat="1" ht="51" customHeight="1" thickBot="1">
      <c r="A1" s="6" t="s">
        <v>16</v>
      </c>
      <c r="B1" s="3">
        <f>Metrics!A4</f>
        <v>425</v>
      </c>
      <c r="C1" s="6" t="s">
        <v>49</v>
      </c>
      <c r="D1" s="3">
        <f>Metrics!A5</f>
        <v>-34</v>
      </c>
      <c r="E1" s="6" t="s">
        <v>50</v>
      </c>
      <c r="F1" s="4">
        <f>Metrics!A11</f>
        <v>0</v>
      </c>
      <c r="G1" s="147" t="s">
        <v>135</v>
      </c>
      <c r="H1" s="148"/>
      <c r="I1" s="137" t="str">
        <f ca="1">MID(CELL("filename",B1),FIND("]",CELL("filename",B1),1)+1,255)</f>
        <v>NGTS Total Metrics</v>
      </c>
      <c r="J1" s="138"/>
      <c r="K1" s="138"/>
      <c r="L1" s="139"/>
      <c r="M1" s="6" t="s">
        <v>53</v>
      </c>
      <c r="N1" s="5">
        <f>Metrics!$A$6</f>
        <v>1.08</v>
      </c>
      <c r="O1" s="8"/>
      <c r="P1" s="1"/>
    </row>
    <row r="2" spans="1:16" ht="15.75" thickBot="1"/>
    <row r="3" spans="1:16" ht="15.75" thickBot="1">
      <c r="A3" s="21" t="s">
        <v>22</v>
      </c>
      <c r="B3" s="190" t="s">
        <v>62</v>
      </c>
      <c r="C3" s="191"/>
      <c r="D3" s="192"/>
    </row>
    <row r="4" spans="1:16">
      <c r="A4" s="33">
        <f>SUM('5100X NGTS Metrics'!A4+'5100ES NGTS Metrics'!A4+'51Ascend NGTS Metrics'!A4+'5300ES NGTS Metrics'!A8+'5300X NGTS Metrics'!A8+'53Ascend NGTS Metrics'!A8)</f>
        <v>0</v>
      </c>
      <c r="B4" s="193" t="s">
        <v>126</v>
      </c>
      <c r="C4" s="194"/>
      <c r="D4" s="195"/>
    </row>
    <row r="5" spans="1:16">
      <c r="A5" s="34">
        <f>SUM('5100X NGTS Metrics'!A5+'5100ES NGTS Metrics'!A5+'51Ascend NGTS Metrics'!A5+'5300ES NGTS Metrics'!A9+'5300X NGTS Metrics'!A9+'53Ascend NGTS Metrics'!A9)</f>
        <v>4</v>
      </c>
      <c r="B5" s="158" t="s">
        <v>125</v>
      </c>
      <c r="C5" s="159"/>
      <c r="D5" s="160"/>
    </row>
    <row r="6" spans="1:16">
      <c r="A6" s="34">
        <f>SUM('5100X NGTS Metrics'!A6+'5100X NGTS Metrics'!A7+'5100ES NGTS Metrics'!A6+'5100ES NGTS Metrics'!A7+'51Ascend NGTS Metrics'!A6+'51Ascend NGTS Metrics'!A7+'5300ES NGTS Metrics'!A10+'5300ES NGTS Metrics'!A11+'5300X NGTS Metrics'!A11+'5300ES NGTS Metrics'!A10+'53Ascend NGTS Metrics'!A10+'53Ascend NGTS Metrics'!A11)</f>
        <v>5</v>
      </c>
      <c r="B6" s="158" t="s">
        <v>64</v>
      </c>
      <c r="C6" s="159"/>
      <c r="D6" s="160"/>
    </row>
    <row r="7" spans="1:16">
      <c r="A7" s="34">
        <f>SUM('5100X NGTS Metrics'!A8+'5100X NGTS Metrics'!A9+'5100ES NGTS Metrics'!A8+'5100ES NGTS Metrics'!A9+'51Ascend NGTS Metrics'!A8+'51Ascend NGTS Metrics'!A9+'5300ES NGTS Metrics'!A12+'5300ES NGTS Metrics'!A13+'5300X NGTS Metrics'!A12+'5300X NGTS Metrics'!A13+'53Ascend NGTS Metrics'!A12+'53Ascend NGTS Metrics'!A13)</f>
        <v>51</v>
      </c>
      <c r="B7" s="158" t="s">
        <v>67</v>
      </c>
      <c r="C7" s="159"/>
      <c r="D7" s="160"/>
    </row>
    <row r="8" spans="1:16">
      <c r="A8" s="34">
        <f>SUM('5100X NGTS Metrics'!A10+'5100X NGTS Metrics'!A11+'5100ES NGTS Metrics'!A10+'5100ES NGTS Metrics'!A11+'51Ascend NGTS Metrics'!A10+'51Ascend NGTS Metrics'!A11+'5300X NGTS Metrics'!A14+'5300X NGTS Metrics'!A15+'5300ES NGTS Metrics'!A14+'5300ES NGTS Metrics'!A15+'53Ascend NGTS Metrics'!A14+'53Ascend NGTS Metrics'!A15)</f>
        <v>0</v>
      </c>
      <c r="B8" s="158" t="s">
        <v>68</v>
      </c>
      <c r="C8" s="159"/>
      <c r="D8" s="160"/>
    </row>
    <row r="9" spans="1:16">
      <c r="A9" s="34">
        <f>SUM('5100X NGTS Metrics'!A12+'5100X NGTS Metrics'!A13+'5100ES NGTS Metrics'!A12+'5100ES NGTS Metrics'!A13+'51Ascend NGTS Metrics'!A12+'51Ascend NGTS Metrics'!A13)</f>
        <v>1</v>
      </c>
      <c r="B9" s="158" t="s">
        <v>129</v>
      </c>
      <c r="C9" s="159"/>
      <c r="D9" s="160"/>
    </row>
    <row r="10" spans="1:16">
      <c r="A10" s="34">
        <f>SUM('5300X NGTS Metrics'!A16+'5300X NGTS Metrics'!A17+'5300ES NGTS Metrics'!A16+'5300ES NGTS Metrics'!A17+'53Ascend NGTS Metrics'!A16+'53Ascend NGTS Metrics'!A17)</f>
        <v>0</v>
      </c>
      <c r="B10" s="158" t="s">
        <v>127</v>
      </c>
      <c r="C10" s="159"/>
      <c r="D10" s="160"/>
    </row>
    <row r="11" spans="1:16">
      <c r="A11" s="34">
        <f>SUM('5100X NGTS Metrics'!A14+'5100X NGTS Metrics'!A15+'5100ES NGTS Metrics'!A14+'5100ES NGTS Metrics'!A15+'51Ascend NGTS Metrics'!A14+'51Ascend NGTS Metrics'!A15+'5300X NGTS Metrics'!A18+'5300X NGTS Metrics'!A19+'5300ES NGTS Metrics'!A18+'5300ES NGTS Metrics'!A19+'53Ascend NGTS Metrics'!A18+'53Ascend NGTS Metrics'!A19)</f>
        <v>0</v>
      </c>
      <c r="B11" s="158" t="s">
        <v>69</v>
      </c>
      <c r="C11" s="159"/>
      <c r="D11" s="160"/>
    </row>
    <row r="12" spans="1:16">
      <c r="A12" s="34">
        <f>SUM('5100X NGTS Metrics'!A16+'5100ES NGTS Metrics'!A16+'5300X NGTS Metrics'!A20+'5300ES NGTS Metrics'!A20+'51Ascend NGTS Metrics'!A16+'53Ascend NGTS Metrics'!A20)</f>
        <v>0</v>
      </c>
      <c r="B12" s="158" t="s">
        <v>71</v>
      </c>
      <c r="C12" s="159"/>
      <c r="D12" s="160"/>
    </row>
    <row r="13" spans="1:16">
      <c r="A13" s="34">
        <f>SUM('5100X NGTS Metrics'!A17+'5100X NGTS Metrics'!A18+'5100ES NGTS Metrics'!A17+'5100ES NGTS Metrics'!A18+'51Ascend NGTS Metrics'!A17+'51Ascend NGTS Metrics'!A18+'5300X NGTS Metrics'!A21+'5300X NGTS Metrics'!A22+'5300ES NGTS Metrics'!A21+'5300ES NGTS Metrics'!A22+'53Ascend NGTS Metrics'!A21+'53Ascend NGTS Metrics'!A22)</f>
        <v>7</v>
      </c>
      <c r="B13" s="158" t="s">
        <v>72</v>
      </c>
      <c r="C13" s="159"/>
      <c r="D13" s="160"/>
    </row>
    <row r="14" spans="1:16">
      <c r="A14" s="34">
        <f>SUM('5100X NGTS Metrics'!A19+'5100ES NGTS Metrics'!A19+'51Ascend NGTS Metrics'!A19+'5300X NGTS Metrics'!A23+'5300ES NGTS Metrics'!A23+'53Ascend NGTS Metrics'!A23)</f>
        <v>7</v>
      </c>
      <c r="B14" s="158" t="s">
        <v>74</v>
      </c>
      <c r="C14" s="159"/>
      <c r="D14" s="160"/>
    </row>
    <row r="15" spans="1:16">
      <c r="A15" s="34">
        <f>SUM('5100X NGTS Metrics'!A20+'5100ES NGTS Metrics'!A20+'51Ascend NGTS Metrics'!A20+'5300X NGTS Metrics'!A24+'5300ES NGTS Metrics'!A24+'53Ascend NGTS Metrics'!A24)</f>
        <v>5</v>
      </c>
      <c r="B15" s="158" t="s">
        <v>75</v>
      </c>
      <c r="C15" s="159"/>
      <c r="D15" s="160"/>
    </row>
    <row r="16" spans="1:16">
      <c r="A16" s="34">
        <f>SUM('5100X NGTS Metrics'!A21+'5100X NGTS Metrics'!A22+'5100ES NGTS Metrics'!A21+'5100ES NGTS Metrics'!A22+'51Ascend NGTS Metrics'!A21+'51Ascend NGTS Metrics'!A22+'5300X NGTS Metrics'!A25+'5300X NGTS Metrics'!A26+'5300ES NGTS Metrics'!A25+'5300ES NGTS Metrics'!A26+'53Ascend NGTS Metrics'!A25+'53Ascend NGTS Metrics'!A26)</f>
        <v>62</v>
      </c>
      <c r="B16" s="158" t="s">
        <v>76</v>
      </c>
      <c r="C16" s="159"/>
      <c r="D16" s="160"/>
    </row>
    <row r="17" spans="1:4">
      <c r="A17" s="34">
        <f>'5300ES NGTS Metrics'!A4+'5300X NGTS Metrics'!A4+'53Ascend NGTS Metrics'!A24</f>
        <v>3</v>
      </c>
      <c r="B17" s="158" t="s">
        <v>138</v>
      </c>
      <c r="C17" s="159"/>
      <c r="D17" s="160"/>
    </row>
    <row r="18" spans="1:4">
      <c r="A18" s="34">
        <f>'5300ES NGTS Metrics'!A5+'5300X NGTS Metrics'!A5+'53Ascend NGTS Metrics'!A5</f>
        <v>1</v>
      </c>
      <c r="B18" s="158" t="s">
        <v>139</v>
      </c>
      <c r="C18" s="159"/>
      <c r="D18" s="160"/>
    </row>
    <row r="19" spans="1:4">
      <c r="A19" s="34">
        <f>'5300ES NGTS Metrics'!A6+'5300X NGTS Metrics'!A6+'53Ascend NGTS Metrics'!A6</f>
        <v>0</v>
      </c>
      <c r="B19" s="158" t="s">
        <v>140</v>
      </c>
      <c r="C19" s="159"/>
      <c r="D19" s="160"/>
    </row>
    <row r="20" spans="1:4" ht="15.75" thickBot="1">
      <c r="A20" s="34">
        <f>'5300ES NGTS Metrics'!A7+'5300X NGTS Metrics'!A7+'53Ascend NGTS Metrics'!A7</f>
        <v>1</v>
      </c>
      <c r="B20" s="187" t="s">
        <v>128</v>
      </c>
      <c r="C20" s="188"/>
      <c r="D20" s="189"/>
    </row>
    <row r="21" spans="1:4">
      <c r="A21" s="35"/>
      <c r="B21" s="36"/>
      <c r="C21" s="36"/>
      <c r="D21" s="36"/>
    </row>
    <row r="22" spans="1:4">
      <c r="A22" s="37"/>
      <c r="B22" s="37"/>
      <c r="C22" s="37"/>
      <c r="D22" s="37"/>
    </row>
  </sheetData>
  <sheetProtection sheet="1" objects="1" scenarios="1" selectLockedCells="1"/>
  <mergeCells count="20">
    <mergeCell ref="I1:L1"/>
    <mergeCell ref="B16:D16"/>
    <mergeCell ref="B20:D20"/>
    <mergeCell ref="B19:D19"/>
    <mergeCell ref="B18:D18"/>
    <mergeCell ref="B17:D17"/>
    <mergeCell ref="B15:D15"/>
    <mergeCell ref="B7:D7"/>
    <mergeCell ref="B8:D8"/>
    <mergeCell ref="B9:D9"/>
    <mergeCell ref="G1:H1"/>
    <mergeCell ref="B10:D10"/>
    <mergeCell ref="B11:D11"/>
    <mergeCell ref="B12:D12"/>
    <mergeCell ref="B13:D13"/>
    <mergeCell ref="B14:D14"/>
    <mergeCell ref="B3:D3"/>
    <mergeCell ref="B4:D4"/>
    <mergeCell ref="B5:D5"/>
    <mergeCell ref="B6:D6"/>
  </mergeCells>
  <conditionalFormatting sqref="N1">
    <cfRule type="iconSet" priority="4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N1">
    <cfRule type="iconSet" priority="1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pageMargins left="0.7" right="0.7" top="0.75" bottom="0.75" header="0.3" footer="0.3"/>
  <pageSetup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P24"/>
  <sheetViews>
    <sheetView workbookViewId="0">
      <selection activeCell="A3" sqref="A3"/>
    </sheetView>
  </sheetViews>
  <sheetFormatPr defaultRowHeight="15"/>
  <cols>
    <col min="1" max="1" width="13.7109375" style="20" bestFit="1" customWidth="1"/>
    <col min="2" max="2" width="14.140625" style="20" bestFit="1" customWidth="1"/>
    <col min="3" max="3" width="15.140625" style="20" bestFit="1" customWidth="1"/>
    <col min="4" max="4" width="15.5703125" style="20" customWidth="1"/>
    <col min="5" max="5" width="12.28515625" customWidth="1"/>
    <col min="6" max="6" width="17.28515625" customWidth="1"/>
    <col min="7" max="7" width="6.7109375" bestFit="1" customWidth="1"/>
    <col min="8" max="8" width="16.42578125" bestFit="1" customWidth="1"/>
    <col min="9" max="10" width="11.7109375" customWidth="1"/>
    <col min="11" max="11" width="11" customWidth="1"/>
    <col min="12" max="12" width="9.7109375" customWidth="1"/>
    <col min="13" max="13" width="26.42578125" bestFit="1" customWidth="1"/>
    <col min="14" max="14" width="16.7109375" bestFit="1" customWidth="1"/>
    <col min="15" max="15" width="44" bestFit="1" customWidth="1"/>
    <col min="16" max="16" width="13.140625" customWidth="1"/>
  </cols>
  <sheetData>
    <row r="1" spans="1:16" s="7" customFormat="1" ht="51" customHeight="1" thickBot="1">
      <c r="A1" s="6" t="s">
        <v>16</v>
      </c>
      <c r="B1" s="3">
        <f>Metrics!A4</f>
        <v>425</v>
      </c>
      <c r="C1" s="6" t="s">
        <v>49</v>
      </c>
      <c r="D1" s="3">
        <f>Metrics!A5</f>
        <v>-34</v>
      </c>
      <c r="E1" s="6" t="s">
        <v>50</v>
      </c>
      <c r="F1" s="4">
        <f>Metrics!A11</f>
        <v>0</v>
      </c>
      <c r="G1" s="147" t="s">
        <v>135</v>
      </c>
      <c r="H1" s="148"/>
      <c r="I1" s="137" t="str">
        <f ca="1">MID(CELL("filename",B1),FIND("]",CELL("filename",B1),1)+1,255)</f>
        <v>5100X NGTS Metrics</v>
      </c>
      <c r="J1" s="138"/>
      <c r="K1" s="138"/>
      <c r="L1" s="139"/>
      <c r="M1" s="6" t="s">
        <v>53</v>
      </c>
      <c r="N1" s="5">
        <f>Metrics!$A$6</f>
        <v>1.08</v>
      </c>
      <c r="O1" s="8"/>
      <c r="P1" s="1"/>
    </row>
    <row r="2" spans="1:16" ht="15.75" thickBot="1"/>
    <row r="3" spans="1:16" ht="15.75" thickBot="1">
      <c r="A3" s="38" t="s">
        <v>22</v>
      </c>
      <c r="B3" s="198" t="s">
        <v>61</v>
      </c>
      <c r="C3" s="198"/>
      <c r="D3" s="39" t="s">
        <v>59</v>
      </c>
    </row>
    <row r="4" spans="1:16">
      <c r="A4" s="34">
        <f>COUNTIFS(Tracking!O:O,"*"&amp;B4&amp;",*",Tracking!F:F,"51*",Tracking!H:H,"*4")</f>
        <v>0</v>
      </c>
      <c r="B4" s="199" t="s">
        <v>63</v>
      </c>
      <c r="C4" s="199"/>
      <c r="D4" s="40">
        <v>854.52750000000003</v>
      </c>
    </row>
    <row r="5" spans="1:16">
      <c r="A5" s="34">
        <f>COUNTIFS(Tracking!O:O,"*"&amp;B5&amp;",*",Tracking!F:F,"51*",Tracking!H:H,"*4")</f>
        <v>0</v>
      </c>
      <c r="B5" s="196" t="s">
        <v>125</v>
      </c>
      <c r="C5" s="196"/>
      <c r="D5" s="41">
        <v>854.52750000000003</v>
      </c>
    </row>
    <row r="6" spans="1:16">
      <c r="A6" s="34">
        <f>SUM(COUNTIFS(Tracking!O:O,"*"&amp;B6&amp;",*",Tracking!F:F,"51*",Tracking!H:H,"*4")+COUNTIFS(Tracking!O:O,"*"&amp;B6&amp;"  ,*",Tracking!F:F,"51*",Tracking!H:H,"*4"))</f>
        <v>0</v>
      </c>
      <c r="B6" s="196" t="s">
        <v>141</v>
      </c>
      <c r="C6" s="196"/>
      <c r="D6" s="41">
        <v>854.52750000000003</v>
      </c>
    </row>
    <row r="7" spans="1:16">
      <c r="A7" s="34">
        <f>SUM(COUNTIFS(Tracking!O:O,"*"&amp;B7&amp;" ,*",Tracking!F:F,"51*",Tracking!H:H,"*4")+COUNTIFS(Tracking!O:O,"*"&amp;B7&amp;"  ,*",Tracking!F:F,"51*",Tracking!H:H,"*4"))</f>
        <v>0</v>
      </c>
      <c r="B7" s="196" t="s">
        <v>141</v>
      </c>
      <c r="C7" s="196"/>
      <c r="D7" s="41">
        <v>856.21749999999997</v>
      </c>
    </row>
    <row r="8" spans="1:16">
      <c r="A8" s="34">
        <f>SUM(COUNTIFS(Tracking!O:O,"*"&amp;B8&amp;",*",Tracking!F:F,"51*",Tracking!H:H,"*4")+COUNTIFS(Tracking!O:O,"*"&amp;B8&amp;"  ,*",Tracking!F:F,"51*",Tracking!H:H,"*4"))</f>
        <v>0</v>
      </c>
      <c r="B8" s="196" t="s">
        <v>67</v>
      </c>
      <c r="C8" s="196"/>
      <c r="D8" s="41">
        <v>854.52750000000003</v>
      </c>
    </row>
    <row r="9" spans="1:16">
      <c r="A9" s="34">
        <f>SUM(COUNTIFS(Tracking!O:O,"*"&amp;B9&amp;" ,*",Tracking!F:F,"51*",Tracking!H:H,"*4")+COUNTIFS(Tracking!O:O,"*"&amp;B9&amp;"  ,*",Tracking!F:F,"51*",Tracking!H:H,"*4"))</f>
        <v>0</v>
      </c>
      <c r="B9" s="196" t="s">
        <v>67</v>
      </c>
      <c r="C9" s="196"/>
      <c r="D9" s="41">
        <v>856.21749999999997</v>
      </c>
    </row>
    <row r="10" spans="1:16">
      <c r="A10" s="34">
        <f>SUM(COUNTIFS(Tracking!O:O,"*"&amp;B10&amp;",*",Tracking!F:F,"51*",Tracking!H:H,"*4")+COUNTIFS(Tracking!O:O,"*"&amp;B10&amp;"  ,*",Tracking!F:F,"51*",Tracking!H:H,"*4"))</f>
        <v>0</v>
      </c>
      <c r="B10" s="196" t="s">
        <v>68</v>
      </c>
      <c r="C10" s="196"/>
      <c r="D10" s="41">
        <v>854.52750000000003</v>
      </c>
    </row>
    <row r="11" spans="1:16">
      <c r="A11" s="34">
        <f>SUM(COUNTIFS(Tracking!O:O,"*"&amp;B11&amp;" ,*",Tracking!F:F,"51*",Tracking!H:H,"*4")+COUNTIFS(Tracking!O:O,"*"&amp;B11&amp;"  ,*",Tracking!F:F,"51*",Tracking!H:H,"*4"))</f>
        <v>0</v>
      </c>
      <c r="B11" s="196" t="s">
        <v>68</v>
      </c>
      <c r="C11" s="196"/>
      <c r="D11" s="41">
        <v>856.21749999999997</v>
      </c>
    </row>
    <row r="12" spans="1:16">
      <c r="A12" s="34">
        <f>SUM(COUNTIFS(Tracking!O:O,"*"&amp;B12&amp;",*",Tracking!F:F,"51*",Tracking!H:H,"*4")+COUNTIFS(Tracking!O:O,"*"&amp;B12&amp;"  ,*",Tracking!F:F,"51*",Tracking!H:H,"*4"))</f>
        <v>0</v>
      </c>
      <c r="B12" s="196" t="s">
        <v>142</v>
      </c>
      <c r="C12" s="196"/>
      <c r="D12" s="41">
        <v>809.42750000000001</v>
      </c>
    </row>
    <row r="13" spans="1:16">
      <c r="A13" s="34">
        <f>SUM(COUNTIFS(Tracking!O:O,"*"&amp;B13&amp;" ,*",Tracking!F:F,"51*",Tracking!H:H,"*4")+COUNTIFS(Tracking!O:O,"*"&amp;B13&amp;"  ,*",Tracking!F:F,"51*",Tracking!H:H,"*4"))</f>
        <v>0</v>
      </c>
      <c r="B13" s="196" t="s">
        <v>142</v>
      </c>
      <c r="C13" s="196"/>
      <c r="D13" s="41">
        <v>810.71749999999997</v>
      </c>
    </row>
    <row r="14" spans="1:16">
      <c r="A14" s="34">
        <f>SUM(COUNTIFS(Tracking!O:O,"*"&amp;B14&amp;",*",Tracking!F:F,"51*",Tracking!H:H,"*4")+COUNTIFS(Tracking!O:O,"*"&amp;B14&amp;"  ,*",Tracking!F:F,"51*",Tracking!H:H,"*4"))</f>
        <v>0</v>
      </c>
      <c r="B14" s="196" t="s">
        <v>143</v>
      </c>
      <c r="C14" s="196"/>
      <c r="D14" s="41">
        <v>809.42750000000001</v>
      </c>
    </row>
    <row r="15" spans="1:16">
      <c r="A15" s="34">
        <f>SUM(COUNTIFS(Tracking!O:O,"*"&amp;B15&amp;" ,*",Tracking!F:F,"51*",Tracking!H:H,"*4")+COUNTIFS(Tracking!O:O,"*"&amp;B15&amp;"  ,*",Tracking!F:F,"51*",Tracking!H:H,"*4"))</f>
        <v>0</v>
      </c>
      <c r="B15" s="196" t="s">
        <v>143</v>
      </c>
      <c r="C15" s="196"/>
      <c r="D15" s="41">
        <v>810.71749999999997</v>
      </c>
    </row>
    <row r="16" spans="1:16">
      <c r="A16" s="34">
        <f>COUNTIFS(Tracking!O:O,"*"&amp;B16&amp;",*",Tracking!F:F,"51*",Tracking!H:H,"*4")</f>
        <v>0</v>
      </c>
      <c r="B16" s="196" t="s">
        <v>70</v>
      </c>
      <c r="C16" s="196"/>
      <c r="D16" s="41">
        <v>809.42750000000001</v>
      </c>
    </row>
    <row r="17" spans="1:4">
      <c r="A17" s="34">
        <f>SUM(COUNTIFS(Tracking!O:O,"*"&amp;B17&amp;",*",Tracking!F:F,"51*",Tracking!H:H,"*4")+COUNTIFS(Tracking!O:O,"*"&amp;B17&amp;"  ,*",Tracking!F:F,"51*",Tracking!H:H,"*4"))</f>
        <v>0</v>
      </c>
      <c r="B17" s="196" t="s">
        <v>72</v>
      </c>
      <c r="C17" s="196"/>
      <c r="D17" s="41">
        <v>809.42750000000001</v>
      </c>
    </row>
    <row r="18" spans="1:4">
      <c r="A18" s="34">
        <f>SUM(COUNTIFS(Tracking!O:O,"*"&amp;B18&amp;" ,*",Tracking!F:F,"51*",Tracking!H:H,"*4")+COUNTIFS(Tracking!O:O,"*"&amp;B18&amp;"  ,*",Tracking!F:F,"51*",Tracking!H:H,"*4"))</f>
        <v>0</v>
      </c>
      <c r="B18" s="196" t="s">
        <v>73</v>
      </c>
      <c r="C18" s="196"/>
      <c r="D18" s="41">
        <v>810.71749999999997</v>
      </c>
    </row>
    <row r="19" spans="1:4">
      <c r="A19" s="34">
        <f>COUNTIFS(Tracking!O:O,"*"&amp;B19&amp;",*",Tracking!F:F,"51*",Tracking!H:H,"*4")</f>
        <v>0</v>
      </c>
      <c r="B19" s="196" t="s">
        <v>151</v>
      </c>
      <c r="C19" s="196"/>
      <c r="D19" s="41">
        <v>809.42750000000001</v>
      </c>
    </row>
    <row r="20" spans="1:4">
      <c r="A20" s="34">
        <f>COUNTIFS(Tracking!O:O,"*"&amp;B20&amp;",*",Tracking!F:F,"51*",Tracking!H:H,"*4")</f>
        <v>0</v>
      </c>
      <c r="B20" s="196" t="s">
        <v>152</v>
      </c>
      <c r="C20" s="196"/>
      <c r="D20" s="41">
        <v>810.71749999999997</v>
      </c>
    </row>
    <row r="21" spans="1:4">
      <c r="A21" s="34">
        <f>SUM(COUNTIFS(Tracking!O:O,"*"&amp;B21&amp;",*",Tracking!F:F,"51*",Tracking!H:H,"*4")+COUNTIFS(Tracking!O:O,"*"&amp;B21&amp;"  ,*",Tracking!F:F,"51*",Tracking!H:H,"*4"))</f>
        <v>0</v>
      </c>
      <c r="B21" s="196" t="s">
        <v>144</v>
      </c>
      <c r="C21" s="196"/>
      <c r="D21" s="41">
        <v>854.52750000000003</v>
      </c>
    </row>
    <row r="22" spans="1:4">
      <c r="A22" s="34">
        <f>SUM(COUNTIFS(Tracking!O:O,"*"&amp;B22&amp;" ,*",Tracking!F:F,"51*",Tracking!H:H,"*4")+COUNTIFS(Tracking!O:O,"*"&amp;B22&amp;"  ,*",Tracking!F:F,"51*",Tracking!H:H,"*4"))</f>
        <v>0</v>
      </c>
      <c r="B22" s="196" t="s">
        <v>144</v>
      </c>
      <c r="C22" s="196"/>
      <c r="D22" s="41">
        <v>856.21749999999997</v>
      </c>
    </row>
    <row r="23" spans="1:4">
      <c r="A23" s="34">
        <f>SUM(COUNTIFS(Tracking!O:O,"*"&amp;B23&amp;",*",Tracking!F:F,"51*",Tracking!H:H,"*4")+COUNTIFS(Tracking!O:O,"*"&amp;B23&amp;"  ,*",Tracking!F:F,"51*",Tracking!H:H,"*4"))</f>
        <v>0</v>
      </c>
      <c r="B23" s="196" t="s">
        <v>77</v>
      </c>
      <c r="C23" s="196"/>
      <c r="D23" s="41">
        <v>809.42750000000001</v>
      </c>
    </row>
    <row r="24" spans="1:4" ht="15.75" thickBot="1">
      <c r="A24" s="34">
        <f>SUM(COUNTIFS(Tracking!O:O,"*"&amp;B24&amp;" ,*",Tracking!F:F,"51*",Tracking!H:H,"*4")+COUNTIFS(Tracking!O:O,"*"&amp;B24&amp;"  ,*",Tracking!F:F,"51*",Tracking!H:H,"*4"))</f>
        <v>0</v>
      </c>
      <c r="B24" s="197" t="s">
        <v>77</v>
      </c>
      <c r="C24" s="197"/>
      <c r="D24" s="42">
        <v>810.71749999999997</v>
      </c>
    </row>
  </sheetData>
  <sheetProtection sheet="1" objects="1" scenarios="1" selectLockedCells="1"/>
  <mergeCells count="24">
    <mergeCell ref="B3:C3"/>
    <mergeCell ref="G1:H1"/>
    <mergeCell ref="I1:L1"/>
    <mergeCell ref="B9:C9"/>
    <mergeCell ref="B8:C8"/>
    <mergeCell ref="B7:C7"/>
    <mergeCell ref="B6:C6"/>
    <mergeCell ref="B5:C5"/>
    <mergeCell ref="B4:C4"/>
    <mergeCell ref="B10:C10"/>
    <mergeCell ref="B24:C24"/>
    <mergeCell ref="B23:C23"/>
    <mergeCell ref="B22:C22"/>
    <mergeCell ref="B21:C21"/>
    <mergeCell ref="B20:C20"/>
    <mergeCell ref="B19:C19"/>
    <mergeCell ref="B18:C18"/>
    <mergeCell ref="B17:C17"/>
    <mergeCell ref="B16:C16"/>
    <mergeCell ref="B15:C15"/>
    <mergeCell ref="B14:C14"/>
    <mergeCell ref="B13:C13"/>
    <mergeCell ref="B12:C12"/>
    <mergeCell ref="B11:C11"/>
  </mergeCells>
  <conditionalFormatting sqref="N1">
    <cfRule type="iconSet" priority="5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N1">
    <cfRule type="iconSet" priority="1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/>
  <dimension ref="A1:P24"/>
  <sheetViews>
    <sheetView workbookViewId="0">
      <selection activeCell="A23" sqref="A23"/>
    </sheetView>
  </sheetViews>
  <sheetFormatPr defaultRowHeight="15"/>
  <cols>
    <col min="1" max="1" width="13.7109375" style="20" bestFit="1" customWidth="1"/>
    <col min="2" max="2" width="14.140625" style="20" bestFit="1" customWidth="1"/>
    <col min="3" max="3" width="15.140625" style="20" bestFit="1" customWidth="1"/>
    <col min="4" max="4" width="15.5703125" style="20" customWidth="1"/>
    <col min="5" max="5" width="12.28515625" customWidth="1"/>
    <col min="6" max="6" width="17.28515625" customWidth="1"/>
    <col min="7" max="7" width="6.7109375" bestFit="1" customWidth="1"/>
    <col min="8" max="8" width="16.42578125" bestFit="1" customWidth="1"/>
    <col min="9" max="10" width="11.7109375" customWidth="1"/>
    <col min="11" max="11" width="11" customWidth="1"/>
    <col min="12" max="12" width="9.7109375" customWidth="1"/>
    <col min="13" max="13" width="26.42578125" bestFit="1" customWidth="1"/>
    <col min="14" max="14" width="16.7109375" bestFit="1" customWidth="1"/>
    <col min="15" max="15" width="44" bestFit="1" customWidth="1"/>
    <col min="16" max="16" width="13.140625" customWidth="1"/>
  </cols>
  <sheetData>
    <row r="1" spans="1:16" s="7" customFormat="1" ht="51" customHeight="1" thickBot="1">
      <c r="A1" s="6" t="s">
        <v>16</v>
      </c>
      <c r="B1" s="3">
        <f>Metrics!A4</f>
        <v>425</v>
      </c>
      <c r="C1" s="6" t="s">
        <v>49</v>
      </c>
      <c r="D1" s="3">
        <f>Metrics!A5</f>
        <v>-34</v>
      </c>
      <c r="E1" s="6" t="s">
        <v>50</v>
      </c>
      <c r="F1" s="4">
        <f>Metrics!A11</f>
        <v>0</v>
      </c>
      <c r="G1" s="147" t="s">
        <v>135</v>
      </c>
      <c r="H1" s="148"/>
      <c r="I1" s="137" t="str">
        <f ca="1">MID(CELL("filename",B1),FIND("]",CELL("filename",B1),1)+1,255)</f>
        <v>5100ES NGTS Metrics</v>
      </c>
      <c r="J1" s="138"/>
      <c r="K1" s="138"/>
      <c r="L1" s="139"/>
      <c r="M1" s="6" t="s">
        <v>53</v>
      </c>
      <c r="N1" s="5">
        <f>Metrics!$A$6</f>
        <v>1.08</v>
      </c>
      <c r="O1" s="8"/>
      <c r="P1" s="1"/>
    </row>
    <row r="2" spans="1:16" ht="15.75" thickBot="1"/>
    <row r="3" spans="1:16" ht="15.75" thickBot="1">
      <c r="A3" s="38" t="s">
        <v>22</v>
      </c>
      <c r="B3" s="198" t="s">
        <v>58</v>
      </c>
      <c r="C3" s="198"/>
      <c r="D3" s="39" t="s">
        <v>59</v>
      </c>
    </row>
    <row r="4" spans="1:16">
      <c r="A4" s="34">
        <f>COUNTIFS(Tracking!O:O,"*"&amp;B4&amp;",*",Tracking!F:F,"51*",Tracking!H:H,"*6")</f>
        <v>0</v>
      </c>
      <c r="B4" s="199" t="s">
        <v>63</v>
      </c>
      <c r="C4" s="199"/>
      <c r="D4" s="40">
        <v>854.52750000000003</v>
      </c>
    </row>
    <row r="5" spans="1:16">
      <c r="A5" s="34">
        <f>COUNTIFS(Tracking!O:O,"*"&amp;B5&amp;",*",Tracking!F:F,"51*",Tracking!H:H,"*6")</f>
        <v>0</v>
      </c>
      <c r="B5" s="196" t="s">
        <v>125</v>
      </c>
      <c r="C5" s="196"/>
      <c r="D5" s="41">
        <v>854.52750000000003</v>
      </c>
    </row>
    <row r="6" spans="1:16">
      <c r="A6" s="34">
        <v>1</v>
      </c>
      <c r="B6" s="196" t="s">
        <v>141</v>
      </c>
      <c r="C6" s="196"/>
      <c r="D6" s="41">
        <v>854.52750000000003</v>
      </c>
    </row>
    <row r="7" spans="1:16">
      <c r="A7" s="34">
        <v>1</v>
      </c>
      <c r="B7" s="196" t="s">
        <v>141</v>
      </c>
      <c r="C7" s="196"/>
      <c r="D7" s="41">
        <v>856.21749999999997</v>
      </c>
    </row>
    <row r="8" spans="1:16">
      <c r="A8" s="34">
        <v>1</v>
      </c>
      <c r="B8" s="196" t="s">
        <v>67</v>
      </c>
      <c r="C8" s="196"/>
      <c r="D8" s="41">
        <v>854.52750000000003</v>
      </c>
    </row>
    <row r="9" spans="1:16">
      <c r="A9" s="34">
        <v>1</v>
      </c>
      <c r="B9" s="196" t="s">
        <v>67</v>
      </c>
      <c r="C9" s="196"/>
      <c r="D9" s="41">
        <v>856.21749999999997</v>
      </c>
    </row>
    <row r="10" spans="1:16">
      <c r="A10" s="34">
        <f>SUM(COUNTIFS(Tracking!O:O,"*"&amp;B10&amp;",*",Tracking!F:F,"51*",Tracking!H:H,"*6")+COUNTIFS(Tracking!O:O,"*"&amp;B10&amp;"  ,*",Tracking!F:F,"51*",Tracking!H:H,"*6"))</f>
        <v>0</v>
      </c>
      <c r="B10" s="196" t="s">
        <v>68</v>
      </c>
      <c r="C10" s="196"/>
      <c r="D10" s="41">
        <v>854.52750000000003</v>
      </c>
    </row>
    <row r="11" spans="1:16">
      <c r="A11" s="34">
        <f>SUM(COUNTIFS(Tracking!O:O,"*"&amp;B11&amp;" ,*",Tracking!F:F,"51*",Tracking!H:H,"*6")+COUNTIFS(Tracking!O:O,"*"&amp;B11&amp;"  ,*",Tracking!F:F,"51*",Tracking!H:H,"*6"))</f>
        <v>0</v>
      </c>
      <c r="B11" s="196" t="s">
        <v>68</v>
      </c>
      <c r="C11" s="196"/>
      <c r="D11" s="41">
        <v>856.21749999999997</v>
      </c>
    </row>
    <row r="12" spans="1:16">
      <c r="A12" s="34">
        <f>SUM(COUNTIFS(Tracking!O:O,"*"&amp;B12&amp;",*",Tracking!F:F,"51*",Tracking!H:H,"*6")+COUNTIFS(Tracking!O:O,"*"&amp;B12&amp;"  ,*",Tracking!F:F,"51*",Tracking!H:H,"*6"))</f>
        <v>0</v>
      </c>
      <c r="B12" s="196" t="s">
        <v>142</v>
      </c>
      <c r="C12" s="196"/>
      <c r="D12" s="41">
        <v>809.42750000000001</v>
      </c>
    </row>
    <row r="13" spans="1:16">
      <c r="A13" s="34">
        <f>SUM(COUNTIFS(Tracking!O:O,"*"&amp;B13&amp;" ,*",Tracking!F:F,"51*",Tracking!H:H,"*6")+COUNTIFS(Tracking!O:O,"*"&amp;B13&amp;"  ,*",Tracking!F:F,"51*",Tracking!H:H,"*6"))</f>
        <v>0</v>
      </c>
      <c r="B13" s="196" t="s">
        <v>142</v>
      </c>
      <c r="C13" s="196"/>
      <c r="D13" s="41">
        <v>810.71749999999997</v>
      </c>
    </row>
    <row r="14" spans="1:16">
      <c r="A14" s="34">
        <f>SUM(COUNTIFS(Tracking!O:O,"*"&amp;B14&amp;",*",Tracking!F:F,"51*",Tracking!H:H,"*6")+COUNTIFS(Tracking!O:O,"*"&amp;B14&amp;"  ,*",Tracking!F:F,"51*",Tracking!H:H,"*6"))</f>
        <v>0</v>
      </c>
      <c r="B14" s="196" t="s">
        <v>143</v>
      </c>
      <c r="C14" s="196"/>
      <c r="D14" s="41">
        <v>809.42750000000001</v>
      </c>
    </row>
    <row r="15" spans="1:16">
      <c r="A15" s="34">
        <f>SUM(COUNTIFS(Tracking!O:O,"*"&amp;B15&amp;" ,*",Tracking!F:F,"51*",Tracking!H:H,"*6")+COUNTIFS(Tracking!O:O,"*"&amp;B15&amp;"  ,*",Tracking!F:F,"51*",Tracking!H:H,"*6"))</f>
        <v>0</v>
      </c>
      <c r="B15" s="196" t="s">
        <v>143</v>
      </c>
      <c r="C15" s="196"/>
      <c r="D15" s="41">
        <v>810.71749999999997</v>
      </c>
    </row>
    <row r="16" spans="1:16">
      <c r="A16" s="34">
        <f>COUNTIFS(Tracking!O:O,"*"&amp;B16&amp;",*",Tracking!F:F,"51*",Tracking!H:H,"*6")</f>
        <v>0</v>
      </c>
      <c r="B16" s="196" t="s">
        <v>70</v>
      </c>
      <c r="C16" s="196"/>
      <c r="D16" s="41">
        <v>809.42750000000001</v>
      </c>
    </row>
    <row r="17" spans="1:4">
      <c r="A17" s="34">
        <f>SUM(COUNTIFS(Tracking!O:O,"*"&amp;B17&amp;",*",Tracking!F:F,"51*",Tracking!H:H,"*6")+COUNTIFS(Tracking!O:O,"*"&amp;B17&amp;"  ,*",Tracking!F:F,"51*",Tracking!H:H,"*6"))</f>
        <v>0</v>
      </c>
      <c r="B17" s="196" t="s">
        <v>73</v>
      </c>
      <c r="C17" s="196"/>
      <c r="D17" s="41">
        <v>809.42750000000001</v>
      </c>
    </row>
    <row r="18" spans="1:4">
      <c r="A18" s="34">
        <f>SUM(COUNTIFS(Tracking!O:O,"*"&amp;B18&amp;" ,*",Tracking!F:F,"51*",Tracking!H:H,"*6")+COUNTIFS(Tracking!O:O,"*"&amp;B18&amp;"  ,*",Tracking!F:F,"51*",Tracking!H:H,"*6"))</f>
        <v>0</v>
      </c>
      <c r="B18" s="196" t="s">
        <v>73</v>
      </c>
      <c r="C18" s="196"/>
      <c r="D18" s="41">
        <v>810.71749999999997</v>
      </c>
    </row>
    <row r="19" spans="1:4">
      <c r="A19" s="34">
        <f>COUNTIFS(Tracking!O:O,"*"&amp;B19&amp;",*",Tracking!F:F,"51*",Tracking!H:H,"*6")</f>
        <v>0</v>
      </c>
      <c r="B19" s="196" t="s">
        <v>151</v>
      </c>
      <c r="C19" s="196"/>
      <c r="D19" s="41">
        <v>809.42750000000001</v>
      </c>
    </row>
    <row r="20" spans="1:4">
      <c r="A20" s="34">
        <f>COUNTIFS(Tracking!O:O,"*"&amp;B20&amp;",*",Tracking!F:F,"51*",Tracking!H:H,"*6")</f>
        <v>0</v>
      </c>
      <c r="B20" s="196" t="s">
        <v>152</v>
      </c>
      <c r="C20" s="196"/>
      <c r="D20" s="41">
        <v>810.71749999999997</v>
      </c>
    </row>
    <row r="21" spans="1:4">
      <c r="A21" s="34">
        <v>1</v>
      </c>
      <c r="B21" s="196" t="s">
        <v>144</v>
      </c>
      <c r="C21" s="196"/>
      <c r="D21" s="41">
        <v>854.52750000000003</v>
      </c>
    </row>
    <row r="22" spans="1:4">
      <c r="A22" s="34">
        <v>1</v>
      </c>
      <c r="B22" s="196" t="s">
        <v>144</v>
      </c>
      <c r="C22" s="196"/>
      <c r="D22" s="41">
        <v>856.21749999999997</v>
      </c>
    </row>
    <row r="23" spans="1:4">
      <c r="A23" s="34">
        <f>SUM(COUNTIFS(Tracking!O:O,"*"&amp;B23&amp;",*",Tracking!F:F,"51*",Tracking!H:H,"*6")+COUNTIFS(Tracking!O:O,"*"&amp;B23&amp;"  ,*",Tracking!F:F,"51*",Tracking!H:H,"*6"))</f>
        <v>0</v>
      </c>
      <c r="B23" s="196" t="s">
        <v>77</v>
      </c>
      <c r="C23" s="196"/>
      <c r="D23" s="41">
        <v>809.42750000000001</v>
      </c>
    </row>
    <row r="24" spans="1:4" ht="15.75" thickBot="1">
      <c r="A24" s="34">
        <f>SUM(COUNTIFS(Tracking!O:O,"*"&amp;B24&amp;" ,*",Tracking!F:F,"51*",Tracking!H:H,"*6")+COUNTIFS(Tracking!O:O,"*"&amp;B24&amp;"  ,*",Tracking!F:F,"51*",Tracking!H:H,"*6"))</f>
        <v>0</v>
      </c>
      <c r="B24" s="197" t="s">
        <v>77</v>
      </c>
      <c r="C24" s="197"/>
      <c r="D24" s="42">
        <v>810.71749999999997</v>
      </c>
    </row>
  </sheetData>
  <sheetProtection sheet="1" objects="1" scenarios="1" selectLockedCells="1"/>
  <mergeCells count="24">
    <mergeCell ref="B22:C22"/>
    <mergeCell ref="B23:C23"/>
    <mergeCell ref="B24:C24"/>
    <mergeCell ref="B5:C5"/>
    <mergeCell ref="B6:C6"/>
    <mergeCell ref="B7:C7"/>
    <mergeCell ref="B20:C20"/>
    <mergeCell ref="B21:C21"/>
    <mergeCell ref="I1:L1"/>
    <mergeCell ref="B18:C18"/>
    <mergeCell ref="B19:C19"/>
    <mergeCell ref="B8:C8"/>
    <mergeCell ref="B9:C9"/>
    <mergeCell ref="B10:C10"/>
    <mergeCell ref="B11:C11"/>
    <mergeCell ref="B12:C12"/>
    <mergeCell ref="B13:C13"/>
    <mergeCell ref="G1:H1"/>
    <mergeCell ref="B14:C14"/>
    <mergeCell ref="B15:C15"/>
    <mergeCell ref="B16:C16"/>
    <mergeCell ref="B17:C17"/>
    <mergeCell ref="B3:C3"/>
    <mergeCell ref="B4:C4"/>
  </mergeCells>
  <conditionalFormatting sqref="N1">
    <cfRule type="iconSet" priority="5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N1">
    <cfRule type="iconSet" priority="1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P25"/>
  <sheetViews>
    <sheetView workbookViewId="0">
      <selection activeCell="A28" sqref="A28"/>
    </sheetView>
  </sheetViews>
  <sheetFormatPr defaultRowHeight="15"/>
  <cols>
    <col min="1" max="1" width="13.7109375" style="20" bestFit="1" customWidth="1"/>
    <col min="2" max="2" width="14.140625" style="20" bestFit="1" customWidth="1"/>
    <col min="3" max="3" width="15.140625" style="20" bestFit="1" customWidth="1"/>
    <col min="4" max="4" width="15.5703125" style="20" customWidth="1"/>
    <col min="5" max="5" width="12.28515625" customWidth="1"/>
    <col min="6" max="6" width="17.28515625" customWidth="1"/>
    <col min="7" max="7" width="6.7109375" bestFit="1" customWidth="1"/>
    <col min="8" max="8" width="16.42578125" bestFit="1" customWidth="1"/>
    <col min="9" max="10" width="11.7109375" customWidth="1"/>
    <col min="11" max="11" width="11" customWidth="1"/>
    <col min="12" max="12" width="9.7109375" customWidth="1"/>
    <col min="13" max="13" width="26.42578125" bestFit="1" customWidth="1"/>
    <col min="14" max="14" width="16.7109375" bestFit="1" customWidth="1"/>
    <col min="15" max="15" width="44" bestFit="1" customWidth="1"/>
    <col min="16" max="16" width="13.140625" customWidth="1"/>
  </cols>
  <sheetData>
    <row r="1" spans="1:16" s="9" customFormat="1" ht="51" customHeight="1" thickBot="1">
      <c r="A1" s="6" t="s">
        <v>16</v>
      </c>
      <c r="B1" s="3">
        <f>Metrics!A4</f>
        <v>425</v>
      </c>
      <c r="C1" s="6" t="s">
        <v>49</v>
      </c>
      <c r="D1" s="3">
        <f>Metrics!A5</f>
        <v>-34</v>
      </c>
      <c r="E1" s="6" t="s">
        <v>50</v>
      </c>
      <c r="F1" s="4">
        <f>Metrics!A11</f>
        <v>0</v>
      </c>
      <c r="G1" s="147" t="s">
        <v>135</v>
      </c>
      <c r="H1" s="148"/>
      <c r="I1" s="137" t="str">
        <f ca="1">MID(CELL("filename",B1),FIND("]",CELL("filename",B1),1)+1,255)</f>
        <v>51Ascend NGTS Metrics</v>
      </c>
      <c r="J1" s="138"/>
      <c r="K1" s="138"/>
      <c r="L1" s="139"/>
      <c r="M1" s="6" t="s">
        <v>53</v>
      </c>
      <c r="N1" s="5">
        <f>Metrics!$A$6</f>
        <v>1.08</v>
      </c>
      <c r="O1" s="8"/>
      <c r="P1" s="1"/>
    </row>
    <row r="2" spans="1:16" ht="15.75" thickBot="1"/>
    <row r="3" spans="1:16" ht="15.75" thickBot="1">
      <c r="A3" s="38" t="s">
        <v>22</v>
      </c>
      <c r="B3" s="198" t="s">
        <v>153</v>
      </c>
      <c r="C3" s="198"/>
      <c r="D3" s="39" t="s">
        <v>59</v>
      </c>
    </row>
    <row r="4" spans="1:16">
      <c r="A4" s="34">
        <f>COUNTIFS(Tracking!O:O,"*"&amp;B4&amp;",*",Tracking!H:H,"*-55*",Tracking!H:H,"*?P")</f>
        <v>0</v>
      </c>
      <c r="B4" s="199" t="s">
        <v>63</v>
      </c>
      <c r="C4" s="199"/>
      <c r="D4" s="40">
        <v>854.52750000000003</v>
      </c>
    </row>
    <row r="5" spans="1:16">
      <c r="A5" s="34">
        <f>COUNTIFS(Tracking!O:O,"*"&amp;B5&amp;",*",Tracking!H:H,"*-55*",Tracking!H:H,"*?P")</f>
        <v>1</v>
      </c>
      <c r="B5" s="196" t="s">
        <v>125</v>
      </c>
      <c r="C5" s="196"/>
      <c r="D5" s="41">
        <v>854.52750000000003</v>
      </c>
    </row>
    <row r="6" spans="1:16">
      <c r="A6" s="34">
        <f>SUM(COUNTIFS(Tracking!O:O,"*"&amp;B6&amp;",*",Tracking!H:H,"*-55*",Tracking!H:H,"*?P")+COUNTIFS(Tracking!O:O,"*"&amp;B6&amp;"  ,*",Tracking!H:H,"*-55*",Tracking!H:H,"*?P"))</f>
        <v>1</v>
      </c>
      <c r="B6" s="196" t="s">
        <v>141</v>
      </c>
      <c r="C6" s="196"/>
      <c r="D6" s="41">
        <v>854.52750000000003</v>
      </c>
    </row>
    <row r="7" spans="1:16">
      <c r="A7" s="34">
        <f>SUM(COUNTIFS(Tracking!O:O,"*"&amp;B7&amp;" ,*",Tracking!H:H,"*-55*",Tracking!H:H,"*?P")+COUNTIFS(Tracking!O:O,"*"&amp;B7&amp;"  ,*",Tracking!H:H,"*-55*",Tracking!H:H,"*?P"))</f>
        <v>2</v>
      </c>
      <c r="B7" s="196" t="s">
        <v>141</v>
      </c>
      <c r="C7" s="196"/>
      <c r="D7" s="41">
        <v>856.21749999999997</v>
      </c>
    </row>
    <row r="8" spans="1:16">
      <c r="A8" s="34">
        <f>SUM(COUNTIFS(Tracking!O:O,"*"&amp;B8&amp;",*",Tracking!H:H,"*-55*",Tracking!H:H,"*?P")+COUNTIFS(Tracking!O:O,"*"&amp;B8&amp;"  ,*",Tracking!H:H,"*-55*",Tracking!H:H,"*?P"))</f>
        <v>26</v>
      </c>
      <c r="B8" s="196" t="s">
        <v>67</v>
      </c>
      <c r="C8" s="196"/>
      <c r="D8" s="41">
        <v>854.52750000000003</v>
      </c>
    </row>
    <row r="9" spans="1:16">
      <c r="A9" s="34">
        <f>SUM(COUNTIFS(Tracking!O:O,"*"&amp;B9&amp;" ,*",Tracking!H:H,"*-55*",Tracking!H:H,"*?P")+COUNTIFS(Tracking!O:O,"*"&amp;B9&amp;"  ,*",Tracking!H:H,"*-55*",Tracking!H:H,"*?P"))</f>
        <v>23</v>
      </c>
      <c r="B9" s="196" t="s">
        <v>67</v>
      </c>
      <c r="C9" s="196"/>
      <c r="D9" s="41">
        <v>856.21749999999997</v>
      </c>
    </row>
    <row r="10" spans="1:16">
      <c r="A10" s="34">
        <f>SUM(COUNTIFS(Tracking!O:O,"*"&amp;B10&amp;",*",Tracking!H:H,"*-55*",Tracking!H:H,"*?P")+COUNTIFS(Tracking!O:O,"*"&amp;B10&amp;"  ,*",Tracking!H:H,"*-55*",Tracking!H:H,"*?P"))</f>
        <v>0</v>
      </c>
      <c r="B10" s="196" t="s">
        <v>68</v>
      </c>
      <c r="C10" s="196"/>
      <c r="D10" s="41">
        <v>854.52750000000003</v>
      </c>
    </row>
    <row r="11" spans="1:16">
      <c r="A11" s="34">
        <f>SUM(COUNTIFS(Tracking!O:O,"*"&amp;B11&amp;" ,*",Tracking!H:H,"*-55*",Tracking!H:H,"*?P")+COUNTIFS(Tracking!O:O,"*"&amp;B11&amp;"  ,*",Tracking!H:H,"*-55*",Tracking!H:H,"*?P"))</f>
        <v>0</v>
      </c>
      <c r="B11" s="196" t="s">
        <v>68</v>
      </c>
      <c r="C11" s="196"/>
      <c r="D11" s="41">
        <v>856.21749999999997</v>
      </c>
    </row>
    <row r="12" spans="1:16">
      <c r="A12" s="34">
        <f>SUM(COUNTIFS(Tracking!O:O,"*"&amp;B12&amp;",*",Tracking!H:H,"*-55*",Tracking!H:H,"*?P")+COUNTIFS(Tracking!O:O,"*"&amp;B12&amp;"  ,*",Tracking!H:H,"*-55*",Tracking!H:H,"*?P"))</f>
        <v>0</v>
      </c>
      <c r="B12" s="196" t="s">
        <v>142</v>
      </c>
      <c r="C12" s="196"/>
      <c r="D12" s="41">
        <v>809.42750000000001</v>
      </c>
    </row>
    <row r="13" spans="1:16">
      <c r="A13" s="34">
        <f>SUM(COUNTIFS(Tracking!O:O,"*"&amp;B13&amp;" ,*",Tracking!H:H,"*-55*",Tracking!H:H,"*?P")+COUNTIFS(Tracking!O:O,"*"&amp;B13&amp;"  ,*",Tracking!H:H,"*-55*",Tracking!H:H,"*?P"))</f>
        <v>1</v>
      </c>
      <c r="B13" s="196" t="s">
        <v>142</v>
      </c>
      <c r="C13" s="196"/>
      <c r="D13" s="41">
        <v>810.71749999999997</v>
      </c>
    </row>
    <row r="14" spans="1:16">
      <c r="A14" s="34">
        <f>SUM(COUNTIFS(Tracking!O:O,"*"&amp;B14&amp;",*",Tracking!H:H,"*-55*",Tracking!H:H,"*?P")+COUNTIFS(Tracking!O:O,"*"&amp;B14&amp;"  ,*",Tracking!H:H,"*-55*",Tracking!H:H,"*?P"))</f>
        <v>0</v>
      </c>
      <c r="B14" s="196" t="s">
        <v>143</v>
      </c>
      <c r="C14" s="196"/>
      <c r="D14" s="41">
        <v>809.42750000000001</v>
      </c>
    </row>
    <row r="15" spans="1:16">
      <c r="A15" s="34">
        <f>SUM(COUNTIFS(Tracking!O:O,"*"&amp;B15&amp;" ,*",Tracking!H:H,"*-55*",Tracking!H:H,"*?P")+COUNTIFS(Tracking!O:O,"*"&amp;B15&amp;"  ,*",Tracking!H:H,"*-55*",Tracking!H:H,"*?P"))</f>
        <v>0</v>
      </c>
      <c r="B15" s="196" t="s">
        <v>143</v>
      </c>
      <c r="C15" s="196"/>
      <c r="D15" s="41">
        <v>810.71749999999997</v>
      </c>
    </row>
    <row r="16" spans="1:16">
      <c r="A16" s="34">
        <f>COUNTIFS(Tracking!O:O,"*"&amp;B16&amp;",*",Tracking!H:H,"*-55*",Tracking!H:H,"*?P")</f>
        <v>0</v>
      </c>
      <c r="B16" s="196" t="s">
        <v>70</v>
      </c>
      <c r="C16" s="196"/>
      <c r="D16" s="41">
        <v>809.42750000000001</v>
      </c>
    </row>
    <row r="17" spans="1:4">
      <c r="A17" s="34">
        <f>SUM(COUNTIFS(Tracking!O:O,"*"&amp;B17&amp;",*",Tracking!H:H,"*-55*",Tracking!H:H,"*?P")+COUNTIFS(Tracking!O:O,"*"&amp;B17&amp;"  ,*",Tracking!H:H,"*-55*",Tracking!H:H,"*?P"))</f>
        <v>3</v>
      </c>
      <c r="B17" s="196" t="s">
        <v>73</v>
      </c>
      <c r="C17" s="196"/>
      <c r="D17" s="41">
        <v>809.42750000000001</v>
      </c>
    </row>
    <row r="18" spans="1:4">
      <c r="A18" s="34">
        <f>SUM(COUNTIFS(Tracking!O:O,"*"&amp;B18&amp;" ,*",Tracking!H:H,"*-55*",Tracking!H:H,"*?P")+COUNTIFS(Tracking!O:O,"*"&amp;B18&amp;"  ,*",Tracking!H:H,"*-55*",Tracking!H:H,"*?P"))</f>
        <v>4</v>
      </c>
      <c r="B18" s="196" t="s">
        <v>73</v>
      </c>
      <c r="C18" s="196"/>
      <c r="D18" s="41">
        <v>810.71749999999997</v>
      </c>
    </row>
    <row r="19" spans="1:4">
      <c r="A19" s="34">
        <f>COUNTIFS(Tracking!O:O,"*"&amp;B19&amp;",*",Tracking!H:H,"*-55*",Tracking!H:H,"*?P")</f>
        <v>5</v>
      </c>
      <c r="B19" s="196" t="s">
        <v>151</v>
      </c>
      <c r="C19" s="196"/>
      <c r="D19" s="41">
        <v>809.42750000000001</v>
      </c>
    </row>
    <row r="20" spans="1:4">
      <c r="A20" s="34">
        <f>COUNTIFS(Tracking!O:O,"*"&amp;B20&amp;",*",Tracking!H:H,"*-55*",Tracking!H:H,"*?P")</f>
        <v>2</v>
      </c>
      <c r="B20" s="196" t="s">
        <v>152</v>
      </c>
      <c r="C20" s="196"/>
      <c r="D20" s="41">
        <v>810.71749999999997</v>
      </c>
    </row>
    <row r="21" spans="1:4">
      <c r="A21" s="34">
        <f>SUM(COUNTIFS(Tracking!O:O,"*"&amp;B21&amp;",*",Tracking!H:H,"*-55*",Tracking!H:H,"*?P")+COUNTIFS(Tracking!O:O,"*"&amp;B21&amp;"  ,*",Tracking!H:H,"*-55*",Tracking!H:H,"*?P"))</f>
        <v>28</v>
      </c>
      <c r="B21" s="196" t="s">
        <v>144</v>
      </c>
      <c r="C21" s="196"/>
      <c r="D21" s="41">
        <v>854.52750000000003</v>
      </c>
    </row>
    <row r="22" spans="1:4">
      <c r="A22" s="34">
        <f>SUM(COUNTIFS(Tracking!O:O,"*"&amp;B22&amp;",*",Tracking!H:H,"*-55*",Tracking!H:H,"*?P")+COUNTIFS(Tracking!O:O,"*"&amp;B22&amp;"  ,*",Tracking!H:H,"*-55*",Tracking!H:H,"*?P"))</f>
        <v>26</v>
      </c>
      <c r="B22" s="196" t="s">
        <v>76</v>
      </c>
      <c r="C22" s="196"/>
      <c r="D22" s="41">
        <v>856.21749999999997</v>
      </c>
    </row>
    <row r="23" spans="1:4">
      <c r="A23" s="34">
        <f>SUM(COUNTIFS(Tracking!O:O,"*"&amp;B23&amp;",*",Tracking!H:H,"*-55*",Tracking!H:H,"*?P")+COUNTIFS(Tracking!O:O,"*"&amp;B23&amp;"  ,*",Tracking!H:H,"*-55*",Tracking!H:H,"*?P"))</f>
        <v>2</v>
      </c>
      <c r="B23" s="196" t="s">
        <v>77</v>
      </c>
      <c r="C23" s="196"/>
      <c r="D23" s="41">
        <v>809.42750000000001</v>
      </c>
    </row>
    <row r="24" spans="1:4" ht="15.75" thickBot="1">
      <c r="A24" s="34">
        <f>SUM(COUNTIFS(Tracking!O:O,"*"&amp;B24&amp;" ,*",Tracking!H:H,"*-55*",Tracking!H:H,"*?P")+COUNTIFS(Tracking!O:O,"*"&amp;B24&amp;"  ,*",Tracking!H:H,"*-55*",Tracking!H:H,"*?P"))</f>
        <v>6</v>
      </c>
      <c r="B24" s="197" t="s">
        <v>77</v>
      </c>
      <c r="C24" s="197"/>
      <c r="D24" s="42">
        <v>810.71749999999997</v>
      </c>
    </row>
    <row r="25" spans="1:4">
      <c r="A25" s="34"/>
    </row>
  </sheetData>
  <sheetProtection sheet="1" objects="1" scenarios="1" selectLockedCells="1"/>
  <mergeCells count="24">
    <mergeCell ref="B12:C12"/>
    <mergeCell ref="G1:H1"/>
    <mergeCell ref="I1:L1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24:C24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</mergeCells>
  <conditionalFormatting sqref="N1">
    <cfRule type="iconSet" priority="2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N1">
    <cfRule type="iconSet" priority="1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P25"/>
  <sheetViews>
    <sheetView workbookViewId="0">
      <selection activeCell="B25" sqref="B25"/>
    </sheetView>
  </sheetViews>
  <sheetFormatPr defaultRowHeight="15"/>
  <cols>
    <col min="1" max="1" width="13.7109375" style="20" bestFit="1" customWidth="1"/>
    <col min="2" max="2" width="14.140625" style="20" bestFit="1" customWidth="1"/>
    <col min="3" max="3" width="15.140625" style="20" bestFit="1" customWidth="1"/>
    <col min="4" max="4" width="15.5703125" style="20" customWidth="1"/>
    <col min="5" max="5" width="12.28515625" customWidth="1"/>
    <col min="6" max="6" width="17.28515625" customWidth="1"/>
    <col min="7" max="7" width="6.7109375" bestFit="1" customWidth="1"/>
    <col min="8" max="8" width="16.42578125" bestFit="1" customWidth="1"/>
    <col min="9" max="10" width="11.7109375" customWidth="1"/>
    <col min="11" max="11" width="11" customWidth="1"/>
    <col min="12" max="12" width="9.7109375" customWidth="1"/>
    <col min="13" max="13" width="26.42578125" bestFit="1" customWidth="1"/>
    <col min="14" max="14" width="16.7109375" bestFit="1" customWidth="1"/>
    <col min="15" max="15" width="44" bestFit="1" customWidth="1"/>
    <col min="16" max="16" width="13.140625" customWidth="1"/>
  </cols>
  <sheetData>
    <row r="1" spans="1:16" s="9" customFormat="1" ht="51" customHeight="1" thickBot="1">
      <c r="A1" s="6" t="s">
        <v>16</v>
      </c>
      <c r="B1" s="3">
        <f>Metrics!A4</f>
        <v>425</v>
      </c>
      <c r="C1" s="6" t="s">
        <v>49</v>
      </c>
      <c r="D1" s="3">
        <f>Metrics!A5</f>
        <v>-34</v>
      </c>
      <c r="E1" s="6" t="s">
        <v>50</v>
      </c>
      <c r="F1" s="4">
        <f>Metrics!A11</f>
        <v>0</v>
      </c>
      <c r="G1" s="147" t="s">
        <v>135</v>
      </c>
      <c r="H1" s="148"/>
      <c r="I1" s="137" t="str">
        <f ca="1">MID(CELL("filename",B1),FIND("]",CELL("filename",B1),1)+1,255)</f>
        <v>Viking Portable NGTS Metrics</v>
      </c>
      <c r="J1" s="138"/>
      <c r="K1" s="138"/>
      <c r="L1" s="139"/>
      <c r="M1" s="6" t="s">
        <v>53</v>
      </c>
      <c r="N1" s="5">
        <f>Metrics!$A$6</f>
        <v>1.08</v>
      </c>
      <c r="O1" s="8"/>
      <c r="P1" s="1"/>
    </row>
    <row r="2" spans="1:16" ht="15.75" thickBot="1"/>
    <row r="3" spans="1:16" ht="15.75" thickBot="1">
      <c r="A3" s="38" t="s">
        <v>22</v>
      </c>
      <c r="B3" s="198" t="s">
        <v>153</v>
      </c>
      <c r="C3" s="198"/>
      <c r="D3" s="39" t="s">
        <v>59</v>
      </c>
    </row>
    <row r="4" spans="1:16">
      <c r="A4" s="33">
        <f>COUNTIFS(Tracking!O:O,"*"&amp;B4&amp;",*",Tracking!H:H,"*-55*",Tracking!H:H,"*?P")</f>
        <v>0</v>
      </c>
      <c r="B4" s="199" t="s">
        <v>63</v>
      </c>
      <c r="C4" s="199"/>
      <c r="D4" s="40">
        <v>854.52750000000003</v>
      </c>
    </row>
    <row r="5" spans="1:16">
      <c r="A5" s="34">
        <f>COUNTIFS(Tracking!O:O,"*"&amp;B5&amp;",*",Tracking!H:H,"*-55*",Tracking!H:H,"*?P")</f>
        <v>1</v>
      </c>
      <c r="B5" s="196" t="s">
        <v>125</v>
      </c>
      <c r="C5" s="196"/>
      <c r="D5" s="41">
        <v>854.52750000000003</v>
      </c>
    </row>
    <row r="6" spans="1:16">
      <c r="A6" s="34">
        <f>SUM(COUNTIFS(Tracking!O:O,"*"&amp;B6&amp;",*",Tracking!H:H,"*-55*",Tracking!H:H,"*?P")+COUNTIFS(Tracking!O:O,"*"&amp;B6&amp;"  ,*",Tracking!H:H,"*-55*",Tracking!H:H,"*?P"))</f>
        <v>1</v>
      </c>
      <c r="B6" s="196" t="s">
        <v>141</v>
      </c>
      <c r="C6" s="196"/>
      <c r="D6" s="41">
        <v>854.52750000000003</v>
      </c>
    </row>
    <row r="7" spans="1:16">
      <c r="A7" s="34">
        <f>SUM(COUNTIFS(Tracking!O:O,"*"&amp;B7&amp;" ,*",Tracking!H:H,"*-55*",Tracking!H:H,"*?P")+COUNTIFS(Tracking!O:O,"*"&amp;B7&amp;"  ,*",Tracking!H:H,"*-55*",Tracking!H:H,"*?P"))</f>
        <v>2</v>
      </c>
      <c r="B7" s="196" t="s">
        <v>141</v>
      </c>
      <c r="C7" s="196"/>
      <c r="D7" s="41">
        <v>856.21749999999997</v>
      </c>
    </row>
    <row r="8" spans="1:16">
      <c r="A8" s="34">
        <f>SUM(COUNTIFS(Tracking!O:O,"*"&amp;B8&amp;",*",Tracking!H:H,"*-55*",Tracking!H:H,"*?P")+COUNTIFS(Tracking!O:O,"*"&amp;B8&amp;"  ,*",Tracking!H:H,"*-55*",Tracking!H:H,"*?P"))</f>
        <v>26</v>
      </c>
      <c r="B8" s="196" t="s">
        <v>67</v>
      </c>
      <c r="C8" s="196"/>
      <c r="D8" s="41">
        <v>854.52750000000003</v>
      </c>
    </row>
    <row r="9" spans="1:16">
      <c r="A9" s="34">
        <f>SUM(COUNTIFS(Tracking!O:O,"*"&amp;B9&amp;" ,*",Tracking!H:H,"*-55*",Tracking!H:H,"*?P")+COUNTIFS(Tracking!O:O,"*"&amp;B9&amp;"  ,*",Tracking!H:H,"*-55*",Tracking!H:H,"*?P"))</f>
        <v>23</v>
      </c>
      <c r="B9" s="196" t="s">
        <v>67</v>
      </c>
      <c r="C9" s="196"/>
      <c r="D9" s="41">
        <v>856.21749999999997</v>
      </c>
    </row>
    <row r="10" spans="1:16">
      <c r="A10" s="34">
        <f>SUM(COUNTIFS(Tracking!O:O,"*"&amp;B10&amp;",*",Tracking!H:H,"*-55*",Tracking!H:H,"*?P")+COUNTIFS(Tracking!O:O,"*"&amp;B10&amp;"  ,*",Tracking!H:H,"*-55*",Tracking!H:H,"*?P"))</f>
        <v>0</v>
      </c>
      <c r="B10" s="196" t="s">
        <v>68</v>
      </c>
      <c r="C10" s="196"/>
      <c r="D10" s="41">
        <v>854.52750000000003</v>
      </c>
    </row>
    <row r="11" spans="1:16">
      <c r="A11" s="34">
        <f>SUM(COUNTIFS(Tracking!O:O,"*"&amp;B11&amp;" ,*",Tracking!H:H,"*-55*",Tracking!H:H,"*?P")+COUNTIFS(Tracking!O:O,"*"&amp;B11&amp;"  ,*",Tracking!H:H,"*-55*",Tracking!H:H,"*?P"))</f>
        <v>0</v>
      </c>
      <c r="B11" s="196" t="s">
        <v>68</v>
      </c>
      <c r="C11" s="196"/>
      <c r="D11" s="41">
        <v>856.21749999999997</v>
      </c>
    </row>
    <row r="12" spans="1:16">
      <c r="A12" s="34">
        <f>SUM(COUNTIFS(Tracking!O:O,"*"&amp;B12&amp;",*",Tracking!H:H,"*-55*",Tracking!H:H,"*?P")+COUNTIFS(Tracking!O:O,"*"&amp;B12&amp;"  ,*",Tracking!H:H,"*-55*",Tracking!H:H,"*?P"))</f>
        <v>0</v>
      </c>
      <c r="B12" s="196" t="s">
        <v>142</v>
      </c>
      <c r="C12" s="196"/>
      <c r="D12" s="41">
        <v>809.42750000000001</v>
      </c>
    </row>
    <row r="13" spans="1:16">
      <c r="A13" s="34">
        <f>SUM(COUNTIFS(Tracking!O:O,"*"&amp;B13&amp;" ,*",Tracking!H:H,"*-55*",Tracking!H:H,"*?P")+COUNTIFS(Tracking!O:O,"*"&amp;B13&amp;"  ,*",Tracking!H:H,"*-55*",Tracking!H:H,"*?P"))</f>
        <v>1</v>
      </c>
      <c r="B13" s="196" t="s">
        <v>142</v>
      </c>
      <c r="C13" s="196"/>
      <c r="D13" s="41">
        <v>810.71749999999997</v>
      </c>
    </row>
    <row r="14" spans="1:16">
      <c r="A14" s="34">
        <f>SUM(COUNTIFS(Tracking!O:O,"*"&amp;B14&amp;",*",Tracking!H:H,"*-55*",Tracking!H:H,"*?P")+COUNTIFS(Tracking!O:O,"*"&amp;B14&amp;"  ,*",Tracking!H:H,"*-55*",Tracking!H:H,"*?P"))</f>
        <v>0</v>
      </c>
      <c r="B14" s="196" t="s">
        <v>143</v>
      </c>
      <c r="C14" s="196"/>
      <c r="D14" s="41">
        <v>809.42750000000001</v>
      </c>
    </row>
    <row r="15" spans="1:16">
      <c r="A15" s="34">
        <f>SUM(COUNTIFS(Tracking!O:O,"*"&amp;B15&amp;" ,*",Tracking!H:H,"*-55*",Tracking!H:H,"*?P")+COUNTIFS(Tracking!O:O,"*"&amp;B15&amp;"  ,*",Tracking!H:H,"*-55*",Tracking!H:H,"*?P"))</f>
        <v>0</v>
      </c>
      <c r="B15" s="196" t="s">
        <v>143</v>
      </c>
      <c r="C15" s="196"/>
      <c r="D15" s="41">
        <v>810.71749999999997</v>
      </c>
    </row>
    <row r="16" spans="1:16">
      <c r="A16" s="34">
        <f>COUNTIFS(Tracking!O:O,"*"&amp;B16&amp;",*",Tracking!H:H,"*-55*",Tracking!H:H,"*?P")</f>
        <v>0</v>
      </c>
      <c r="B16" s="196" t="s">
        <v>70</v>
      </c>
      <c r="C16" s="196"/>
      <c r="D16" s="41">
        <v>809.42750000000001</v>
      </c>
    </row>
    <row r="17" spans="1:4">
      <c r="A17" s="34">
        <f>SUM(COUNTIFS(Tracking!O:O,"*"&amp;B17&amp;",*",Tracking!H:H,"*-55*",Tracking!H:H,"*?P")+COUNTIFS(Tracking!O:O,"*"&amp;B17&amp;"  ,*",Tracking!H:H,"*-55*",Tracking!H:H,"*?P"))</f>
        <v>3</v>
      </c>
      <c r="B17" s="196" t="s">
        <v>73</v>
      </c>
      <c r="C17" s="196"/>
      <c r="D17" s="41">
        <v>809.42750000000001</v>
      </c>
    </row>
    <row r="18" spans="1:4">
      <c r="A18" s="34">
        <f>SUM(COUNTIFS(Tracking!O:O,"*"&amp;B18&amp;" ,*",Tracking!H:H,"*-55*",Tracking!H:H,"*?P")+COUNTIFS(Tracking!O:O,"*"&amp;B18&amp;"  ,*",Tracking!H:H,"*-55*",Tracking!H:H,"*?P"))</f>
        <v>4</v>
      </c>
      <c r="B18" s="196" t="s">
        <v>73</v>
      </c>
      <c r="C18" s="196"/>
      <c r="D18" s="41">
        <v>810.71749999999997</v>
      </c>
    </row>
    <row r="19" spans="1:4">
      <c r="A19" s="34">
        <f>COUNTIFS(Tracking!O:O,"*"&amp;B19&amp;",*",Tracking!H:H,"*-55*",Tracking!H:H,"*?P")</f>
        <v>5</v>
      </c>
      <c r="B19" s="196" t="s">
        <v>151</v>
      </c>
      <c r="C19" s="196"/>
      <c r="D19" s="41">
        <v>809.42750000000001</v>
      </c>
    </row>
    <row r="20" spans="1:4">
      <c r="A20" s="34">
        <f>COUNTIFS(Tracking!O:O,"*"&amp;B20&amp;",*",Tracking!H:H,"*-55*",Tracking!H:H,"*?P")</f>
        <v>2</v>
      </c>
      <c r="B20" s="196" t="s">
        <v>152</v>
      </c>
      <c r="C20" s="196"/>
      <c r="D20" s="41">
        <v>810.71749999999997</v>
      </c>
    </row>
    <row r="21" spans="1:4">
      <c r="A21" s="34">
        <f>SUM(COUNTIFS(Tracking!O:O,"*"&amp;B21&amp;",*",Tracking!H:H,"*-55*",Tracking!H:H,"*?P")+COUNTIFS(Tracking!O:O,"*"&amp;B21&amp;"  ,*",Tracking!H:H,"*-55*",Tracking!H:H,"*?P"))</f>
        <v>28</v>
      </c>
      <c r="B21" s="196" t="s">
        <v>144</v>
      </c>
      <c r="C21" s="196"/>
      <c r="D21" s="41">
        <v>854.52750000000003</v>
      </c>
    </row>
    <row r="22" spans="1:4">
      <c r="A22" s="34">
        <f>SUM(COUNTIFS(Tracking!O:O,"*"&amp;B22&amp;",*",Tracking!H:H,"*-55*",Tracking!H:H,"*?P")+COUNTIFS(Tracking!O:O,"*"&amp;B22&amp;"  ,*",Tracking!H:H,"*-55*",Tracking!H:H,"*?P"))</f>
        <v>26</v>
      </c>
      <c r="B22" s="196" t="s">
        <v>76</v>
      </c>
      <c r="C22" s="196"/>
      <c r="D22" s="41">
        <v>856.21749999999997</v>
      </c>
    </row>
    <row r="23" spans="1:4">
      <c r="A23" s="34">
        <f>SUM(COUNTIFS(Tracking!O:O,"*"&amp;B23&amp;",*",Tracking!H:H,"*-55*",Tracking!H:H,"*?P")+COUNTIFS(Tracking!O:O,"*"&amp;B23&amp;"  ,*",Tracking!H:H,"*-55*",Tracking!H:H,"*?P"))</f>
        <v>2</v>
      </c>
      <c r="B23" s="196" t="s">
        <v>77</v>
      </c>
      <c r="C23" s="196"/>
      <c r="D23" s="41">
        <v>809.42750000000001</v>
      </c>
    </row>
    <row r="24" spans="1:4" ht="15.75" thickBot="1">
      <c r="A24" s="127">
        <f>SUM(COUNTIFS(Tracking!O:O,"*"&amp;B24&amp;" ,*",Tracking!H:H,"*-55*",Tracking!H:H,"*?P")+COUNTIFS(Tracking!O:O,"*"&amp;B24&amp;"  ,*",Tracking!H:H,"*-55*",Tracking!H:H,"*?P"))</f>
        <v>6</v>
      </c>
      <c r="B24" s="197" t="s">
        <v>77</v>
      </c>
      <c r="C24" s="197"/>
      <c r="D24" s="42">
        <v>810.71749999999997</v>
      </c>
    </row>
    <row r="25" spans="1:4">
      <c r="A25" s="126"/>
    </row>
  </sheetData>
  <sheetProtection sheet="1" objects="1" scenarios="1" selectLockedCells="1"/>
  <mergeCells count="24">
    <mergeCell ref="B24:C24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12:C12"/>
    <mergeCell ref="G1:H1"/>
    <mergeCell ref="I1:L1"/>
    <mergeCell ref="B3:C3"/>
    <mergeCell ref="B4:C4"/>
    <mergeCell ref="B5:C5"/>
    <mergeCell ref="B6:C6"/>
    <mergeCell ref="B7:C7"/>
    <mergeCell ref="B8:C8"/>
    <mergeCell ref="B9:C9"/>
    <mergeCell ref="B10:C10"/>
    <mergeCell ref="B11:C11"/>
  </mergeCells>
  <conditionalFormatting sqref="N1">
    <cfRule type="iconSet" priority="2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N1">
    <cfRule type="iconSet" priority="1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9"/>
  <dimension ref="A1:P28"/>
  <sheetViews>
    <sheetView workbookViewId="0">
      <selection activeCell="B28" sqref="B28:C28"/>
    </sheetView>
  </sheetViews>
  <sheetFormatPr defaultRowHeight="15"/>
  <cols>
    <col min="1" max="1" width="13.7109375" style="20" bestFit="1" customWidth="1"/>
    <col min="2" max="2" width="14.140625" style="20" bestFit="1" customWidth="1"/>
    <col min="3" max="3" width="15.140625" style="20" bestFit="1" customWidth="1"/>
    <col min="4" max="4" width="15.5703125" style="20" customWidth="1"/>
    <col min="5" max="5" width="12.28515625" customWidth="1"/>
    <col min="6" max="6" width="17.28515625" customWidth="1"/>
    <col min="7" max="7" width="6.7109375" bestFit="1" customWidth="1"/>
    <col min="8" max="8" width="16.42578125" bestFit="1" customWidth="1"/>
    <col min="9" max="10" width="11.7109375" customWidth="1"/>
    <col min="11" max="11" width="11" customWidth="1"/>
    <col min="12" max="12" width="9.7109375" customWidth="1"/>
    <col min="13" max="13" width="26.42578125" bestFit="1" customWidth="1"/>
    <col min="14" max="14" width="16.7109375" bestFit="1" customWidth="1"/>
    <col min="15" max="15" width="44" bestFit="1" customWidth="1"/>
    <col min="16" max="16" width="13.140625" customWidth="1"/>
  </cols>
  <sheetData>
    <row r="1" spans="1:16" s="9" customFormat="1" ht="51" customHeight="1" thickBot="1">
      <c r="A1" s="6" t="s">
        <v>16</v>
      </c>
      <c r="B1" s="3">
        <f>Metrics!A4</f>
        <v>425</v>
      </c>
      <c r="C1" s="6" t="s">
        <v>49</v>
      </c>
      <c r="D1" s="3">
        <f>Metrics!A5</f>
        <v>-34</v>
      </c>
      <c r="E1" s="6" t="s">
        <v>50</v>
      </c>
      <c r="F1" s="4">
        <f>Metrics!A11</f>
        <v>0</v>
      </c>
      <c r="G1" s="147" t="s">
        <v>135</v>
      </c>
      <c r="H1" s="148"/>
      <c r="I1" s="137" t="str">
        <f ca="1">MID(CELL("filename",B1),FIND("]",CELL("filename",B1),1)+1,255)</f>
        <v>5300X NGTS Metrics</v>
      </c>
      <c r="J1" s="138"/>
      <c r="K1" s="138"/>
      <c r="L1" s="139"/>
      <c r="M1" s="6" t="s">
        <v>53</v>
      </c>
      <c r="N1" s="5">
        <f>Metrics!$A$6</f>
        <v>1.08</v>
      </c>
      <c r="O1" s="8"/>
      <c r="P1" s="1"/>
    </row>
    <row r="2" spans="1:16" ht="15.75" thickBot="1"/>
    <row r="3" spans="1:16" ht="15.75" thickBot="1">
      <c r="A3" s="38" t="s">
        <v>22</v>
      </c>
      <c r="B3" s="198" t="s">
        <v>150</v>
      </c>
      <c r="C3" s="198"/>
      <c r="D3" s="39" t="s">
        <v>59</v>
      </c>
    </row>
    <row r="4" spans="1:16">
      <c r="A4" s="34">
        <f>COUNTIFS(Tracking!O:O,"*"&amp;B4&amp;",*",Tracking!F:F,"53*",Tracking!H:H,"*4")</f>
        <v>0</v>
      </c>
      <c r="B4" s="199" t="s">
        <v>147</v>
      </c>
      <c r="C4" s="199"/>
      <c r="D4" s="40">
        <v>791.98749999999995</v>
      </c>
    </row>
    <row r="5" spans="1:16">
      <c r="A5" s="34">
        <f>COUNTIFS(Tracking!O:O,"*"&amp;B5&amp;",*",Tracking!F:F,"53*",Tracking!H:H,"*4")</f>
        <v>0</v>
      </c>
      <c r="B5" s="196" t="s">
        <v>148</v>
      </c>
      <c r="C5" s="196"/>
      <c r="D5" s="41">
        <v>851.01250000000005</v>
      </c>
    </row>
    <row r="6" spans="1:16">
      <c r="A6" s="34">
        <f>COUNTIFS(Tracking!O:O,"*"&amp;B6&amp;",*",Tracking!F:F,"53*",Tracking!H:H,"*4")</f>
        <v>0</v>
      </c>
      <c r="B6" s="196" t="s">
        <v>65</v>
      </c>
      <c r="C6" s="196"/>
      <c r="D6" s="41"/>
    </row>
    <row r="7" spans="1:16">
      <c r="A7" s="34">
        <f>COUNTIFS(Tracking!O:O,"*"&amp;B7&amp;",*",Tracking!F:F,"53*",Tracking!H:H,"*4")</f>
        <v>0</v>
      </c>
      <c r="B7" s="196" t="s">
        <v>66</v>
      </c>
      <c r="C7" s="196"/>
      <c r="D7" s="41"/>
    </row>
    <row r="8" spans="1:16">
      <c r="A8" s="34">
        <f>COUNTIFS(Tracking!O:O,"*"&amp;B8&amp;",*",Tracking!F:F,"53*",Tracking!H:H,"*4")</f>
        <v>0</v>
      </c>
      <c r="B8" s="196" t="s">
        <v>63</v>
      </c>
      <c r="C8" s="196"/>
      <c r="D8" s="41">
        <v>854.52750000000003</v>
      </c>
    </row>
    <row r="9" spans="1:16">
      <c r="A9" s="34">
        <f>COUNTIFS(Tracking!O:O,"*"&amp;B9&amp;",*",Tracking!F:F,"53*",Tracking!H:H,"*4")</f>
        <v>0</v>
      </c>
      <c r="B9" s="196" t="s">
        <v>125</v>
      </c>
      <c r="C9" s="196"/>
      <c r="D9" s="41">
        <v>854.52750000000003</v>
      </c>
    </row>
    <row r="10" spans="1:16">
      <c r="A10" s="34">
        <f>SUM(COUNTIFS(Tracking!O:O,"*"&amp;B10&amp;",*",Tracking!F:F,"53*",Tracking!H:H,"*4")+COUNTIFS(Tracking!O:O,"*"&amp;B10&amp;"  ,*",Tracking!F:F,"53*",Tracking!H:H,"*4"))</f>
        <v>0</v>
      </c>
      <c r="B10" s="196" t="s">
        <v>141</v>
      </c>
      <c r="C10" s="196"/>
      <c r="D10" s="41">
        <v>854.52750000000003</v>
      </c>
    </row>
    <row r="11" spans="1:16">
      <c r="A11" s="34">
        <f>SUM(COUNTIFS(Tracking!O:O,"*"&amp;B11&amp;" ,*",Tracking!F:F,"53*",Tracking!H:H,"*4")+COUNTIFS(Tracking!O:O,"*"&amp;B11&amp;"  ,*",Tracking!F:F,"53*",Tracking!H:H,"*4"))</f>
        <v>0</v>
      </c>
      <c r="B11" s="196" t="s">
        <v>141</v>
      </c>
      <c r="C11" s="196"/>
      <c r="D11" s="41">
        <v>856.21749999999997</v>
      </c>
    </row>
    <row r="12" spans="1:16">
      <c r="A12" s="34">
        <f>SUM(COUNTIFS(Tracking!O:O,"*"&amp;B12&amp;",*",Tracking!F:F,"53*",Tracking!H:H,"*4")+COUNTIFS(Tracking!O:O,"*"&amp;B12&amp;"  ,*",Tracking!F:F,"53*",Tracking!H:H,"*4"))</f>
        <v>0</v>
      </c>
      <c r="B12" s="196" t="s">
        <v>67</v>
      </c>
      <c r="C12" s="196"/>
      <c r="D12" s="41">
        <v>854.52750000000003</v>
      </c>
    </row>
    <row r="13" spans="1:16">
      <c r="A13" s="34">
        <f>SUM(COUNTIFS(Tracking!O:O,"*"&amp;B13&amp;" ,*",Tracking!F:F,"53*",Tracking!H:H,"*4")+COUNTIFS(Tracking!O:O,"*"&amp;B13&amp;"  ,*",Tracking!F:F,"53*",Tracking!H:H,"*4"))</f>
        <v>0</v>
      </c>
      <c r="B13" s="196" t="s">
        <v>67</v>
      </c>
      <c r="C13" s="196"/>
      <c r="D13" s="41">
        <v>856.21749999999997</v>
      </c>
    </row>
    <row r="14" spans="1:16">
      <c r="A14" s="34">
        <f>SUM(COUNTIFS(Tracking!O:O,"*"&amp;B14&amp;",*",Tracking!F:F,"53*",Tracking!H:H,"*4")+COUNTIFS(Tracking!O:O,"*"&amp;B14&amp;"  ,*",Tracking!F:F,"53*",Tracking!H:H,"*4"))</f>
        <v>0</v>
      </c>
      <c r="B14" s="196" t="s">
        <v>68</v>
      </c>
      <c r="C14" s="196"/>
      <c r="D14" s="41">
        <v>854.52750000000003</v>
      </c>
    </row>
    <row r="15" spans="1:16">
      <c r="A15" s="34">
        <f>SUM(COUNTIFS(Tracking!O:O,"*"&amp;B15&amp;" ,*",Tracking!F:F,"53*",Tracking!H:H,"*4")+COUNTIFS(Tracking!O:O,"*"&amp;B15&amp;"  ,*",Tracking!F:F,"53*",Tracking!H:H,"*4"))</f>
        <v>0</v>
      </c>
      <c r="B15" s="196" t="s">
        <v>68</v>
      </c>
      <c r="C15" s="196"/>
      <c r="D15" s="41">
        <v>856.21749999999997</v>
      </c>
    </row>
    <row r="16" spans="1:16">
      <c r="A16" s="34">
        <f>SUM(COUNTIFS(Tracking!O:O,"*"&amp;B16&amp;",*",Tracking!F:F,"53*",Tracking!H:H,"*4")+COUNTIFS(Tracking!O:O,"*"&amp;B16&amp;"  ,*",Tracking!F:F,"53*",Tracking!H:H,"*4"))</f>
        <v>0</v>
      </c>
      <c r="B16" s="196" t="s">
        <v>149</v>
      </c>
      <c r="C16" s="196"/>
      <c r="D16" s="41">
        <v>809.42750000000001</v>
      </c>
    </row>
    <row r="17" spans="1:4">
      <c r="A17" s="34">
        <f>SUM(COUNTIFS(Tracking!O:O,"*"&amp;B17&amp;" ,*",Tracking!F:F,"53*",Tracking!H:H,"*4")+COUNTIFS(Tracking!O:O,"*"&amp;B17&amp;"  ,*",Tracking!F:F,"53*",Tracking!H:H,"*4"))</f>
        <v>0</v>
      </c>
      <c r="B17" s="196" t="s">
        <v>149</v>
      </c>
      <c r="C17" s="196"/>
      <c r="D17" s="41">
        <v>810.71749999999997</v>
      </c>
    </row>
    <row r="18" spans="1:4">
      <c r="A18" s="34">
        <f>SUM(COUNTIFS(Tracking!O:O,"*"&amp;B18&amp;",*",Tracking!F:F,"53*",Tracking!H:H,"*4")+COUNTIFS(Tracking!O:O,"*"&amp;B18&amp;"  ,*",Tracking!F:F,"53*",Tracking!H:H,"*4"))</f>
        <v>0</v>
      </c>
      <c r="B18" s="196" t="s">
        <v>143</v>
      </c>
      <c r="C18" s="196"/>
      <c r="D18" s="41">
        <v>809.42750000000001</v>
      </c>
    </row>
    <row r="19" spans="1:4">
      <c r="A19" s="34">
        <f>SUM(COUNTIFS(Tracking!O:O,"*"&amp;B19&amp;" ,*",Tracking!F:F,"53*",Tracking!H:H,"*4")+COUNTIFS(Tracking!O:O,"*"&amp;B19&amp;"  ,*",Tracking!F:F,"53*",Tracking!H:H,"*4"))</f>
        <v>0</v>
      </c>
      <c r="B19" s="196" t="s">
        <v>143</v>
      </c>
      <c r="C19" s="196"/>
      <c r="D19" s="41">
        <v>810.71749999999997</v>
      </c>
    </row>
    <row r="20" spans="1:4">
      <c r="A20" s="34">
        <f>COUNTIFS(Tracking!O:O,"*"&amp;B20&amp;",*",Tracking!F:F,"53*",Tracking!H:H,"*4")</f>
        <v>0</v>
      </c>
      <c r="B20" s="196" t="s">
        <v>70</v>
      </c>
      <c r="C20" s="196"/>
      <c r="D20" s="41">
        <v>809.42750000000001</v>
      </c>
    </row>
    <row r="21" spans="1:4">
      <c r="A21" s="34">
        <f>SUM(COUNTIFS(Tracking!O:O,"*"&amp;B21&amp;",*",Tracking!F:F,"53*",Tracking!H:H,"*4")+COUNTIFS(Tracking!O:O,"*"&amp;B21&amp;"  ,*",Tracking!F:F,"53*",Tracking!H:H,"*4"))</f>
        <v>0</v>
      </c>
      <c r="B21" s="196" t="s">
        <v>73</v>
      </c>
      <c r="C21" s="196"/>
      <c r="D21" s="41">
        <v>809.42750000000001</v>
      </c>
    </row>
    <row r="22" spans="1:4">
      <c r="A22" s="34">
        <f>SUM(COUNTIFS(Tracking!O:O,"*"&amp;B22&amp;" ,*",Tracking!F:F,"53*",Tracking!H:H,"*4")+COUNTIFS(Tracking!O:O,"*"&amp;B22&amp;"  ,*",Tracking!F:F,"53*",Tracking!H:H,"*4"))</f>
        <v>0</v>
      </c>
      <c r="B22" s="196" t="s">
        <v>73</v>
      </c>
      <c r="C22" s="196"/>
      <c r="D22" s="41">
        <v>810.71749999999997</v>
      </c>
    </row>
    <row r="23" spans="1:4">
      <c r="A23" s="34">
        <f>COUNTIFS(Tracking!O:O,"*"&amp;B23&amp;",*",Tracking!F:F,"53*",Tracking!H:H,"*4")</f>
        <v>0</v>
      </c>
      <c r="B23" s="196" t="s">
        <v>151</v>
      </c>
      <c r="C23" s="196"/>
      <c r="D23" s="41">
        <v>809.42750000000001</v>
      </c>
    </row>
    <row r="24" spans="1:4">
      <c r="A24" s="34">
        <f>COUNTIFS(Tracking!O:O,"*"&amp;B24&amp;",*",Tracking!F:F,"53*",Tracking!H:H,"*4")</f>
        <v>0</v>
      </c>
      <c r="B24" s="196" t="s">
        <v>152</v>
      </c>
      <c r="C24" s="196"/>
      <c r="D24" s="41">
        <v>810.71749999999997</v>
      </c>
    </row>
    <row r="25" spans="1:4">
      <c r="A25" s="34">
        <f>SUM(COUNTIFS(Tracking!O:O,"*"&amp;B25&amp;",*",Tracking!F:F,"53*",Tracking!H:H,"*4")+COUNTIFS(Tracking!O:O,"*"&amp;B25&amp;"  ,*",Tracking!F:F,"53*",Tracking!H:H,"*4"))</f>
        <v>0</v>
      </c>
      <c r="B25" s="196" t="s">
        <v>144</v>
      </c>
      <c r="C25" s="196"/>
      <c r="D25" s="41">
        <v>854.52750000000003</v>
      </c>
    </row>
    <row r="26" spans="1:4">
      <c r="A26" s="34">
        <f>SUM(COUNTIFS(Tracking!O:O,"*"&amp;B26&amp;" ,*",Tracking!F:F,"53*",Tracking!H:H,"*4")+COUNTIFS(Tracking!O:O,"*"&amp;B26&amp;"  ,*",Tracking!F:F,"53*",Tracking!H:H,"*4"))</f>
        <v>0</v>
      </c>
      <c r="B26" s="196" t="s">
        <v>144</v>
      </c>
      <c r="C26" s="196"/>
      <c r="D26" s="41">
        <v>856.21749999999997</v>
      </c>
    </row>
    <row r="27" spans="1:4">
      <c r="A27" s="34">
        <f>SUM(COUNTIFS(Tracking!O:O,"*"&amp;B27&amp;",*",Tracking!F:F,"53*",Tracking!H:H,"*4")+COUNTIFS(Tracking!O:O,"*"&amp;B27&amp;"  ,*",Tracking!F:F,"53*",Tracking!H:H,"*4"))</f>
        <v>0</v>
      </c>
      <c r="B27" s="196" t="s">
        <v>77</v>
      </c>
      <c r="C27" s="196"/>
      <c r="D27" s="41">
        <v>809.42750000000001</v>
      </c>
    </row>
    <row r="28" spans="1:4" ht="15.75" thickBot="1">
      <c r="A28" s="34">
        <f>SUM(COUNTIFS(Tracking!O:O,"*"&amp;B28&amp;" ,*",Tracking!F:F,"53*",Tracking!H:H,"*4")+COUNTIFS(Tracking!O:O,"*"&amp;B28&amp;"  ,*",Tracking!F:F,"53*",Tracking!H:H,"*4"))</f>
        <v>0</v>
      </c>
      <c r="B28" s="197" t="s">
        <v>77</v>
      </c>
      <c r="C28" s="197"/>
      <c r="D28" s="42">
        <v>810.71749999999997</v>
      </c>
    </row>
  </sheetData>
  <sheetProtection sheet="1" objects="1" scenarios="1" selectLockedCells="1"/>
  <mergeCells count="28">
    <mergeCell ref="B6:C6"/>
    <mergeCell ref="G1:H1"/>
    <mergeCell ref="I1:L1"/>
    <mergeCell ref="B3:C3"/>
    <mergeCell ref="B4:C4"/>
    <mergeCell ref="B5:C5"/>
    <mergeCell ref="B18:C18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25:C25"/>
    <mergeCell ref="B26:C26"/>
    <mergeCell ref="B27:C27"/>
    <mergeCell ref="B28:C28"/>
    <mergeCell ref="B19:C19"/>
    <mergeCell ref="B20:C20"/>
    <mergeCell ref="B21:C21"/>
    <mergeCell ref="B22:C22"/>
    <mergeCell ref="B23:C23"/>
    <mergeCell ref="B24:C24"/>
  </mergeCells>
  <conditionalFormatting sqref="N1">
    <cfRule type="iconSet" priority="2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N1">
    <cfRule type="iconSet" priority="1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7"/>
  <dimension ref="A1:P28"/>
  <sheetViews>
    <sheetView workbookViewId="0">
      <selection activeCell="A2" sqref="A2"/>
    </sheetView>
  </sheetViews>
  <sheetFormatPr defaultRowHeight="15"/>
  <cols>
    <col min="1" max="1" width="13.7109375" style="20" bestFit="1" customWidth="1"/>
    <col min="2" max="2" width="14.140625" style="20" bestFit="1" customWidth="1"/>
    <col min="3" max="3" width="15.140625" style="20" bestFit="1" customWidth="1"/>
    <col min="4" max="4" width="15.5703125" style="20" customWidth="1"/>
    <col min="5" max="5" width="12.28515625" customWidth="1"/>
    <col min="6" max="6" width="17.28515625" customWidth="1"/>
    <col min="7" max="7" width="6.7109375" bestFit="1" customWidth="1"/>
    <col min="8" max="8" width="16.42578125" bestFit="1" customWidth="1"/>
    <col min="9" max="10" width="11.7109375" customWidth="1"/>
    <col min="11" max="11" width="11" customWidth="1"/>
    <col min="12" max="12" width="9.7109375" customWidth="1"/>
    <col min="13" max="13" width="26.42578125" bestFit="1" customWidth="1"/>
    <col min="14" max="14" width="16.7109375" bestFit="1" customWidth="1"/>
    <col min="15" max="15" width="44" bestFit="1" customWidth="1"/>
    <col min="16" max="16" width="13.140625" customWidth="1"/>
  </cols>
  <sheetData>
    <row r="1" spans="1:16" s="9" customFormat="1" ht="51" customHeight="1" thickBot="1">
      <c r="A1" s="6" t="s">
        <v>16</v>
      </c>
      <c r="B1" s="3">
        <f>Metrics!A4</f>
        <v>425</v>
      </c>
      <c r="C1" s="6" t="s">
        <v>49</v>
      </c>
      <c r="D1" s="3">
        <f>Metrics!A5</f>
        <v>-34</v>
      </c>
      <c r="E1" s="6" t="s">
        <v>50</v>
      </c>
      <c r="F1" s="4">
        <f>Metrics!A11</f>
        <v>0</v>
      </c>
      <c r="G1" s="147" t="s">
        <v>135</v>
      </c>
      <c r="H1" s="148"/>
      <c r="I1" s="137" t="str">
        <f ca="1">MID(CELL("filename",B1),FIND("]",CELL("filename",B1),1)+1,255)</f>
        <v>5300ES NGTS Metrics</v>
      </c>
      <c r="J1" s="138"/>
      <c r="K1" s="138"/>
      <c r="L1" s="139"/>
      <c r="M1" s="6" t="s">
        <v>53</v>
      </c>
      <c r="N1" s="5">
        <f>Metrics!$A$6</f>
        <v>1.08</v>
      </c>
      <c r="O1" s="8"/>
      <c r="P1" s="1"/>
    </row>
    <row r="2" spans="1:16" ht="15.75" thickBot="1"/>
    <row r="3" spans="1:16" ht="15.75" thickBot="1">
      <c r="A3" s="38" t="s">
        <v>22</v>
      </c>
      <c r="B3" s="198" t="s">
        <v>60</v>
      </c>
      <c r="C3" s="198"/>
      <c r="D3" s="39" t="s">
        <v>59</v>
      </c>
    </row>
    <row r="4" spans="1:16">
      <c r="A4" s="34">
        <f>COUNTIFS(Tracking!O:O,"*"&amp;B4&amp;",*",Tracking!F:F,"53*",Tracking!H:H,"*6")</f>
        <v>0</v>
      </c>
      <c r="B4" s="199" t="s">
        <v>147</v>
      </c>
      <c r="C4" s="199"/>
      <c r="D4" s="40">
        <v>791.98749999999995</v>
      </c>
    </row>
    <row r="5" spans="1:16">
      <c r="A5" s="34">
        <f>COUNTIFS(Tracking!O:O,"*"&amp;B5&amp;",*",Tracking!F:F,"53*",Tracking!H:H,"*6")</f>
        <v>0</v>
      </c>
      <c r="B5" s="196" t="s">
        <v>148</v>
      </c>
      <c r="C5" s="196"/>
      <c r="D5" s="41">
        <v>851.01250000000005</v>
      </c>
    </row>
    <row r="6" spans="1:16">
      <c r="A6" s="34">
        <f>COUNTIFS(Tracking!O:O,"*"&amp;B6&amp;",*",Tracking!F:F,"53*",Tracking!H:H,"*6")</f>
        <v>0</v>
      </c>
      <c r="B6" s="196" t="s">
        <v>65</v>
      </c>
      <c r="C6" s="196"/>
      <c r="D6" s="41"/>
    </row>
    <row r="7" spans="1:16">
      <c r="A7" s="34">
        <f>COUNTIFS(Tracking!O:O,"*"&amp;B7&amp;",*",Tracking!F:F,"53*",Tracking!H:H,"*6")</f>
        <v>0</v>
      </c>
      <c r="B7" s="196" t="s">
        <v>66</v>
      </c>
      <c r="C7" s="196"/>
      <c r="D7" s="41"/>
    </row>
    <row r="8" spans="1:16">
      <c r="A8" s="34">
        <f>COUNTIFS(Tracking!O:O,"*"&amp;B8&amp;",*",Tracking!F:F,"53*",Tracking!H:H,"*6")</f>
        <v>0</v>
      </c>
      <c r="B8" s="196" t="s">
        <v>63</v>
      </c>
      <c r="C8" s="196"/>
      <c r="D8" s="41">
        <v>854.52750000000003</v>
      </c>
    </row>
    <row r="9" spans="1:16">
      <c r="A9" s="34">
        <f>COUNTIFS(Tracking!O:O,"*"&amp;B9&amp;",*",Tracking!F:F,"53*",Tracking!H:H,"*6")</f>
        <v>0</v>
      </c>
      <c r="B9" s="196" t="s">
        <v>125</v>
      </c>
      <c r="C9" s="196"/>
      <c r="D9" s="41">
        <v>854.52750000000003</v>
      </c>
    </row>
    <row r="10" spans="1:16">
      <c r="A10" s="34">
        <f>SUM(COUNTIFS(Tracking!O:O,"*"&amp;B10&amp;",*",Tracking!F:F,"53*",Tracking!H:H,"*6")+COUNTIFS(Tracking!O:O,"*"&amp;B10&amp;"  ,*",Tracking!F:F,"53*",Tracking!H:H,"*6"))</f>
        <v>0</v>
      </c>
      <c r="B10" s="196" t="s">
        <v>141</v>
      </c>
      <c r="C10" s="196"/>
      <c r="D10" s="41">
        <v>854.52750000000003</v>
      </c>
    </row>
    <row r="11" spans="1:16">
      <c r="A11" s="34">
        <f>SUM(COUNTIFS(Tracking!O:O,"*"&amp;B11&amp;" ,*",Tracking!F:F,"53*",Tracking!H:H,"*6")+COUNTIFS(Tracking!O:O,"*"&amp;B11&amp;"  ,*",Tracking!F:F,"53*",Tracking!H:H,"*6"))</f>
        <v>0</v>
      </c>
      <c r="B11" s="196" t="s">
        <v>141</v>
      </c>
      <c r="C11" s="196"/>
      <c r="D11" s="41">
        <v>856.21749999999997</v>
      </c>
    </row>
    <row r="12" spans="1:16">
      <c r="A12" s="34">
        <f>SUM(COUNTIFS(Tracking!O:O,"*"&amp;B12&amp;",*",Tracking!F:F,"53*",Tracking!H:H,"*6")+COUNTIFS(Tracking!O:O,"*"&amp;B12&amp;"  ,*",Tracking!F:F,"53*",Tracking!H:H,"*6"))</f>
        <v>0</v>
      </c>
      <c r="B12" s="196" t="s">
        <v>67</v>
      </c>
      <c r="C12" s="196"/>
      <c r="D12" s="41">
        <v>854.52750000000003</v>
      </c>
    </row>
    <row r="13" spans="1:16">
      <c r="A13" s="34">
        <f>SUM(COUNTIFS(Tracking!O:O,"*"&amp;B13&amp;" ,*",Tracking!F:F,"53*",Tracking!H:H,"*6")+COUNTIFS(Tracking!O:O,"*"&amp;B13&amp;"  ,*",Tracking!F:F,"53*",Tracking!H:H,"*6"))</f>
        <v>0</v>
      </c>
      <c r="B13" s="196" t="s">
        <v>67</v>
      </c>
      <c r="C13" s="196"/>
      <c r="D13" s="41">
        <v>856.21749999999997</v>
      </c>
    </row>
    <row r="14" spans="1:16">
      <c r="A14" s="34">
        <f>SUM(COUNTIFS(Tracking!O:O,"*"&amp;B14&amp;",*",Tracking!F:F,"53*",Tracking!H:H,"*6")+COUNTIFS(Tracking!O:O,"*"&amp;B14&amp;"  ,*",Tracking!F:F,"53*",Tracking!H:H,"*6"))</f>
        <v>0</v>
      </c>
      <c r="B14" s="196" t="s">
        <v>68</v>
      </c>
      <c r="C14" s="196"/>
      <c r="D14" s="41">
        <v>854.52750000000003</v>
      </c>
    </row>
    <row r="15" spans="1:16">
      <c r="A15" s="34">
        <f>SUM(COUNTIFS(Tracking!O:O,"*"&amp;B15&amp;" ,*",Tracking!F:F,"53*",Tracking!H:H,"*6")+COUNTIFS(Tracking!O:O,"*"&amp;B15&amp;"  ,*",Tracking!F:F,"53*",Tracking!H:H,"*6"))</f>
        <v>0</v>
      </c>
      <c r="B15" s="196" t="s">
        <v>68</v>
      </c>
      <c r="C15" s="196"/>
      <c r="D15" s="41">
        <v>856.21749999999997</v>
      </c>
    </row>
    <row r="16" spans="1:16">
      <c r="A16" s="34">
        <f>SUM(COUNTIFS(Tracking!O:O,"*"&amp;B16&amp;",*",Tracking!F:F,"53*",Tracking!H:H,"*6")+COUNTIFS(Tracking!O:O,"*"&amp;B16&amp;"  ,*",Tracking!F:F,"53*",Tracking!H:H,"*6"))</f>
        <v>0</v>
      </c>
      <c r="B16" s="196" t="s">
        <v>149</v>
      </c>
      <c r="C16" s="196"/>
      <c r="D16" s="41">
        <v>809.42750000000001</v>
      </c>
    </row>
    <row r="17" spans="1:4">
      <c r="A17" s="34">
        <f>SUM(COUNTIFS(Tracking!O:O,"*"&amp;B17&amp;" ,*",Tracking!F:F,"53*",Tracking!H:H,"*6")+COUNTIFS(Tracking!O:O,"*"&amp;B17&amp;"  ,*",Tracking!F:F,"53*",Tracking!H:H,"*6"))</f>
        <v>0</v>
      </c>
      <c r="B17" s="196" t="s">
        <v>149</v>
      </c>
      <c r="C17" s="196"/>
      <c r="D17" s="41">
        <v>810.71749999999997</v>
      </c>
    </row>
    <row r="18" spans="1:4">
      <c r="A18" s="34">
        <f>SUM(COUNTIFS(Tracking!O:O,"*"&amp;B18&amp;",*",Tracking!F:F,"53*",Tracking!H:H,"*6")+COUNTIFS(Tracking!O:O,"*"&amp;B18&amp;"  ,*",Tracking!F:F,"53*",Tracking!H:H,"*6"))</f>
        <v>0</v>
      </c>
      <c r="B18" s="196" t="s">
        <v>143</v>
      </c>
      <c r="C18" s="196"/>
      <c r="D18" s="41">
        <v>809.42750000000001</v>
      </c>
    </row>
    <row r="19" spans="1:4">
      <c r="A19" s="34">
        <f>SUM(COUNTIFS(Tracking!O:O,"*"&amp;B19&amp;" ,*",Tracking!F:F,"53*",Tracking!H:H,"*6")+COUNTIFS(Tracking!O:O,"*"&amp;B19&amp;"  ,*",Tracking!F:F,"53*",Tracking!H:H,"*6"))</f>
        <v>0</v>
      </c>
      <c r="B19" s="196" t="s">
        <v>143</v>
      </c>
      <c r="C19" s="196"/>
      <c r="D19" s="41">
        <v>810.71749999999997</v>
      </c>
    </row>
    <row r="20" spans="1:4">
      <c r="A20" s="34">
        <f>COUNTIFS(Tracking!O:O,"*"&amp;B20&amp;",*",Tracking!F:F,"53*",Tracking!H:H,"*6")</f>
        <v>0</v>
      </c>
      <c r="B20" s="196" t="s">
        <v>70</v>
      </c>
      <c r="C20" s="196"/>
      <c r="D20" s="41">
        <v>809.42750000000001</v>
      </c>
    </row>
    <row r="21" spans="1:4">
      <c r="A21" s="34">
        <f>SUM(COUNTIFS(Tracking!O:O,"*"&amp;B21&amp;",*",Tracking!F:F,"53*",Tracking!H:H,"*6")+COUNTIFS(Tracking!O:O,"*"&amp;B21&amp;"  ,*",Tracking!F:F,"53*",Tracking!H:H,"*6"))</f>
        <v>0</v>
      </c>
      <c r="B21" s="196" t="s">
        <v>73</v>
      </c>
      <c r="C21" s="196"/>
      <c r="D21" s="41">
        <v>809.42750000000001</v>
      </c>
    </row>
    <row r="22" spans="1:4">
      <c r="A22" s="34">
        <f>SUM(COUNTIFS(Tracking!O:O,"*"&amp;B22&amp;" ,*",Tracking!F:F,"53*",Tracking!H:H,"*6")+COUNTIFS(Tracking!O:O,"*"&amp;B22&amp;"  ,*",Tracking!F:F,"53*",Tracking!H:H,"*6"))</f>
        <v>0</v>
      </c>
      <c r="B22" s="196" t="s">
        <v>73</v>
      </c>
      <c r="C22" s="196"/>
      <c r="D22" s="41">
        <v>810.71749999999997</v>
      </c>
    </row>
    <row r="23" spans="1:4">
      <c r="A23" s="34">
        <f>COUNTIFS(Tracking!O:O,"*"&amp;B23&amp;",*",Tracking!F:F,"53*",Tracking!H:H,"*6")</f>
        <v>0</v>
      </c>
      <c r="B23" s="196" t="s">
        <v>151</v>
      </c>
      <c r="C23" s="196"/>
      <c r="D23" s="41">
        <v>809.42750000000001</v>
      </c>
    </row>
    <row r="24" spans="1:4">
      <c r="A24" s="34">
        <f>COUNTIFS(Tracking!O:O,"*"&amp;B24&amp;",*",Tracking!F:F,"53*",Tracking!H:H,"*6")</f>
        <v>0</v>
      </c>
      <c r="B24" s="196" t="s">
        <v>152</v>
      </c>
      <c r="C24" s="196"/>
      <c r="D24" s="41">
        <v>810.71749999999997</v>
      </c>
    </row>
    <row r="25" spans="1:4">
      <c r="A25" s="34">
        <f>SUM(COUNTIFS(Tracking!O:O,"*"&amp;B25&amp;",*",Tracking!F:F,"53*",Tracking!H:H,"*6")+COUNTIFS(Tracking!O:O,"*"&amp;B25&amp;"  ,*",Tracking!F:F,"53*",Tracking!H:H,"*6"))</f>
        <v>0</v>
      </c>
      <c r="B25" s="196" t="s">
        <v>144</v>
      </c>
      <c r="C25" s="196"/>
      <c r="D25" s="41">
        <v>854.52750000000003</v>
      </c>
    </row>
    <row r="26" spans="1:4">
      <c r="A26" s="34">
        <f>SUM(COUNTIFS(Tracking!O:O,"*"&amp;B26&amp;" ,*",Tracking!F:F,"53*",Tracking!H:H,"*6")+COUNTIFS(Tracking!O:O,"*"&amp;B26&amp;"  ,*",Tracking!F:F,"53*",Tracking!H:H,"*6"))</f>
        <v>0</v>
      </c>
      <c r="B26" s="196" t="s">
        <v>144</v>
      </c>
      <c r="C26" s="196"/>
      <c r="D26" s="41">
        <v>856.21749999999997</v>
      </c>
    </row>
    <row r="27" spans="1:4">
      <c r="A27" s="34">
        <f>SUM(COUNTIFS(Tracking!O:O,"*"&amp;B27&amp;",*",Tracking!F:F,"53*",Tracking!H:H,"*6")+COUNTIFS(Tracking!O:O,"*"&amp;B27&amp;"  ,*",Tracking!F:F,"53*",Tracking!H:H,"*6"))</f>
        <v>0</v>
      </c>
      <c r="B27" s="196" t="s">
        <v>77</v>
      </c>
      <c r="C27" s="196"/>
      <c r="D27" s="41">
        <v>809.42750000000001</v>
      </c>
    </row>
    <row r="28" spans="1:4" ht="15.75" thickBot="1">
      <c r="A28" s="34">
        <f>SUM(COUNTIFS(Tracking!O:O,"*"&amp;B28&amp;" ,*",Tracking!F:F,"53*",Tracking!H:H,"*6")+COUNTIFS(Tracking!O:O,"*"&amp;B28&amp;"  ,*",Tracking!F:F,"53*",Tracking!H:H,"*6"))</f>
        <v>0</v>
      </c>
      <c r="B28" s="197" t="s">
        <v>77</v>
      </c>
      <c r="C28" s="197"/>
      <c r="D28" s="42">
        <v>810.71749999999997</v>
      </c>
    </row>
  </sheetData>
  <sheetProtection sheet="1" objects="1" scenarios="1" selectLockedCells="1"/>
  <mergeCells count="28">
    <mergeCell ref="B26:C26"/>
    <mergeCell ref="B27:C27"/>
    <mergeCell ref="B28:C28"/>
    <mergeCell ref="B3:C3"/>
    <mergeCell ref="B4:C4"/>
    <mergeCell ref="B5:C5"/>
    <mergeCell ref="B6:C6"/>
    <mergeCell ref="B7:C7"/>
    <mergeCell ref="B20:C20"/>
    <mergeCell ref="B21:C21"/>
    <mergeCell ref="B22:C22"/>
    <mergeCell ref="B23:C23"/>
    <mergeCell ref="B24:C24"/>
    <mergeCell ref="B25:C25"/>
    <mergeCell ref="B14:C14"/>
    <mergeCell ref="B15:C15"/>
    <mergeCell ref="B19:C19"/>
    <mergeCell ref="B8:C8"/>
    <mergeCell ref="B9:C9"/>
    <mergeCell ref="B10:C10"/>
    <mergeCell ref="B11:C11"/>
    <mergeCell ref="B12:C12"/>
    <mergeCell ref="B13:C13"/>
    <mergeCell ref="G1:H1"/>
    <mergeCell ref="I1:L1"/>
    <mergeCell ref="B16:C16"/>
    <mergeCell ref="B17:C17"/>
    <mergeCell ref="B18:C18"/>
  </mergeCells>
  <conditionalFormatting sqref="N1">
    <cfRule type="iconSet" priority="5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N1">
    <cfRule type="iconSet" priority="1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1"/>
  <dimension ref="A1:P28"/>
  <sheetViews>
    <sheetView workbookViewId="0">
      <selection activeCell="A9" sqref="A9"/>
    </sheetView>
  </sheetViews>
  <sheetFormatPr defaultRowHeight="15"/>
  <cols>
    <col min="1" max="1" width="13.7109375" style="20" bestFit="1" customWidth="1"/>
    <col min="2" max="2" width="14.140625" style="20" bestFit="1" customWidth="1"/>
    <col min="3" max="3" width="15.140625" style="20" bestFit="1" customWidth="1"/>
    <col min="4" max="4" width="15.5703125" style="20" customWidth="1"/>
    <col min="5" max="5" width="12.28515625" customWidth="1"/>
    <col min="6" max="6" width="17.28515625" customWidth="1"/>
    <col min="7" max="7" width="6.7109375" bestFit="1" customWidth="1"/>
    <col min="8" max="8" width="16.42578125" bestFit="1" customWidth="1"/>
    <col min="9" max="10" width="11.7109375" customWidth="1"/>
    <col min="11" max="11" width="11" customWidth="1"/>
    <col min="12" max="12" width="9.7109375" customWidth="1"/>
    <col min="13" max="13" width="26.42578125" bestFit="1" customWidth="1"/>
    <col min="14" max="14" width="16.7109375" bestFit="1" customWidth="1"/>
    <col min="15" max="15" width="44" bestFit="1" customWidth="1"/>
    <col min="16" max="16" width="13.140625" customWidth="1"/>
  </cols>
  <sheetData>
    <row r="1" spans="1:16" s="9" customFormat="1" ht="51" customHeight="1" thickBot="1">
      <c r="A1" s="6" t="s">
        <v>16</v>
      </c>
      <c r="B1" s="3">
        <f>Metrics!A4</f>
        <v>425</v>
      </c>
      <c r="C1" s="6" t="s">
        <v>49</v>
      </c>
      <c r="D1" s="3">
        <f>Metrics!A5</f>
        <v>-34</v>
      </c>
      <c r="E1" s="6" t="s">
        <v>50</v>
      </c>
      <c r="F1" s="4">
        <f>Metrics!A11</f>
        <v>0</v>
      </c>
      <c r="G1" s="147" t="s">
        <v>135</v>
      </c>
      <c r="H1" s="148"/>
      <c r="I1" s="137" t="str">
        <f ca="1">MID(CELL("filename",B1),FIND("]",CELL("filename",B1),1)+1,255)</f>
        <v>53Ascend NGTS Metrics</v>
      </c>
      <c r="J1" s="138"/>
      <c r="K1" s="138"/>
      <c r="L1" s="139"/>
      <c r="M1" s="6" t="s">
        <v>53</v>
      </c>
      <c r="N1" s="5">
        <f>Metrics!$A$6</f>
        <v>1.08</v>
      </c>
      <c r="O1" s="8"/>
      <c r="P1" s="1"/>
    </row>
    <row r="2" spans="1:16" ht="15.75" thickBot="1"/>
    <row r="3" spans="1:16" ht="15.75" thickBot="1">
      <c r="A3" s="38" t="s">
        <v>22</v>
      </c>
      <c r="B3" s="198" t="s">
        <v>154</v>
      </c>
      <c r="C3" s="198"/>
      <c r="D3" s="39" t="s">
        <v>59</v>
      </c>
    </row>
    <row r="4" spans="1:16">
      <c r="A4" s="34">
        <f>COUNTIFS(Tracking!O:O,"*"&amp;B4&amp;",*",Tracking!H:H,"*-55*",Tracking!H:H,"*?M")</f>
        <v>0</v>
      </c>
      <c r="B4" s="199" t="s">
        <v>147</v>
      </c>
      <c r="C4" s="199"/>
      <c r="D4" s="40">
        <v>791.98749999999995</v>
      </c>
    </row>
    <row r="5" spans="1:16">
      <c r="A5" s="34">
        <f>COUNTIFS(Tracking!O:O,"*"&amp;B5&amp;",*",Tracking!H:H,"*-55*",Tracking!H:H,"*?M")</f>
        <v>1</v>
      </c>
      <c r="B5" s="196" t="s">
        <v>148</v>
      </c>
      <c r="C5" s="196"/>
      <c r="D5" s="41">
        <v>851.01250000000005</v>
      </c>
    </row>
    <row r="6" spans="1:16">
      <c r="A6" s="34">
        <f>COUNTIFS(Tracking!O:O,"*"&amp;B6&amp;",*",Tracking!H:H,"*-55*",Tracking!H:H,"*?M")</f>
        <v>0</v>
      </c>
      <c r="B6" s="196" t="s">
        <v>65</v>
      </c>
      <c r="C6" s="196"/>
      <c r="D6" s="41"/>
    </row>
    <row r="7" spans="1:16">
      <c r="A7" s="34">
        <f>COUNTIFS(Tracking!O:O,"*"&amp;B7&amp;",*",Tracking!H:H,"*-55*",Tracking!H:H,"*?M")</f>
        <v>1</v>
      </c>
      <c r="B7" s="196" t="s">
        <v>337</v>
      </c>
      <c r="C7" s="196"/>
      <c r="D7" s="41"/>
    </row>
    <row r="8" spans="1:16">
      <c r="A8" s="34">
        <f>COUNTIFS(Tracking!O:O,"*"&amp;B8&amp;",*",Tracking!H:H,"*-55*",Tracking!H:H,"*?M")</f>
        <v>0</v>
      </c>
      <c r="B8" s="196" t="s">
        <v>63</v>
      </c>
      <c r="C8" s="196"/>
      <c r="D8" s="41">
        <v>854.52750000000003</v>
      </c>
    </row>
    <row r="9" spans="1:16">
      <c r="A9" s="105">
        <f>COUNTIFS(Tracking!O:O,"*"&amp;B9&amp;",*",Tracking!H:H,"*-55*",Tracking!H:H,"*?M")</f>
        <v>3</v>
      </c>
      <c r="B9" s="196" t="s">
        <v>125</v>
      </c>
      <c r="C9" s="196"/>
      <c r="D9" s="41">
        <v>854.52750000000003</v>
      </c>
    </row>
    <row r="10" spans="1:16">
      <c r="A10" s="105">
        <f>SUM(COUNTIFS(Tracking!O:O,"*"&amp;B10&amp;",*",Tracking!H:H,"*-55*",Tracking!H:H,"*?M")+COUNTIFS(Tracking!O:O,"*"&amp;B10&amp;"  ,*",Tracking!H:H,"*-55*",Tracking!H:H,"*?M"))</f>
        <v>0</v>
      </c>
      <c r="B10" s="196" t="s">
        <v>141</v>
      </c>
      <c r="C10" s="196"/>
      <c r="D10" s="41">
        <v>854.52750000000003</v>
      </c>
    </row>
    <row r="11" spans="1:16">
      <c r="A11" s="105">
        <f>SUM(COUNTIFS(Tracking!O:O,"*"&amp;B11&amp;" ,*",Tracking!H:H,"*-55*",Tracking!H:H,"*?M")+COUNTIFS(Tracking!O:O,"*"&amp;B11&amp;"  ,*",Tracking!H:H,"*-55*",Tracking!H:H,"*?M"))</f>
        <v>0</v>
      </c>
      <c r="B11" s="196" t="s">
        <v>141</v>
      </c>
      <c r="C11" s="196"/>
      <c r="D11" s="41">
        <v>856.21749999999997</v>
      </c>
    </row>
    <row r="12" spans="1:16">
      <c r="A12" s="105">
        <f>SUM(COUNTIFS(Tracking!O:O,"*"&amp;B12&amp;",*",Tracking!H:H,"*-55*",Tracking!H:H,"*?M")+COUNTIFS(Tracking!O:O,"*"&amp;B12&amp;"  ,*",Tracking!H:H,"*-55*",Tracking!H:H,"*?M"))</f>
        <v>0</v>
      </c>
      <c r="B12" s="196" t="s">
        <v>67</v>
      </c>
      <c r="C12" s="196"/>
      <c r="D12" s="41">
        <v>854.52750000000003</v>
      </c>
    </row>
    <row r="13" spans="1:16">
      <c r="A13" s="105">
        <f>SUM(COUNTIFS(Tracking!O:O,"*"&amp;B13&amp;" ,*",Tracking!H:H,"*-55*",Tracking!H:H,"*?M")+COUNTIFS(Tracking!O:O,"*"&amp;B13&amp;"  ,*",Tracking!H:H,"*-55*",Tracking!H:H,"*?M"))</f>
        <v>0</v>
      </c>
      <c r="B13" s="196" t="s">
        <v>67</v>
      </c>
      <c r="C13" s="196"/>
      <c r="D13" s="41">
        <v>856.21749999999997</v>
      </c>
    </row>
    <row r="14" spans="1:16">
      <c r="A14" s="105">
        <f>SUM(COUNTIFS(Tracking!O:O,"*"&amp;B14&amp;",*",Tracking!H:H,"*-55*",Tracking!H:H,"*?M")+COUNTIFS(Tracking!O:O,"*"&amp;B14&amp;"  ,*",Tracking!H:H,"*-55*",Tracking!H:H,"*?M"))</f>
        <v>0</v>
      </c>
      <c r="B14" s="196" t="s">
        <v>68</v>
      </c>
      <c r="C14" s="196"/>
      <c r="D14" s="41">
        <v>854.52750000000003</v>
      </c>
    </row>
    <row r="15" spans="1:16">
      <c r="A15" s="105">
        <f>SUM(COUNTIFS(Tracking!O:O,"*"&amp;B15&amp;" ,*",Tracking!H:H,"*-55*",Tracking!H:H,"*?M")+COUNTIFS(Tracking!O:O,"*"&amp;B15&amp;"  ,*",Tracking!H:H,"*-55*",Tracking!H:H,"*?M"))</f>
        <v>0</v>
      </c>
      <c r="B15" s="196" t="s">
        <v>68</v>
      </c>
      <c r="C15" s="196"/>
      <c r="D15" s="41">
        <v>856.21749999999997</v>
      </c>
    </row>
    <row r="16" spans="1:16">
      <c r="A16" s="105">
        <f>SUM(COUNTIFS(Tracking!O:O,"*"&amp;B16&amp;",*",Tracking!H:H,"*-55*",Tracking!H:H,"*?M")+COUNTIFS(Tracking!O:O,"*"&amp;B16&amp;"  ,*",Tracking!H:H,"*-55*",Tracking!H:H,"*?M"))</f>
        <v>0</v>
      </c>
      <c r="B16" s="196" t="s">
        <v>149</v>
      </c>
      <c r="C16" s="196"/>
      <c r="D16" s="41">
        <v>809.42750000000001</v>
      </c>
    </row>
    <row r="17" spans="1:4">
      <c r="A17" s="105">
        <f>SUM(COUNTIFS(Tracking!O:O,"*"&amp;B17&amp;" ,*",Tracking!H:H,"*-55*",Tracking!H:H,"*?M")+COUNTIFS(Tracking!O:O,"*"&amp;B17&amp;"  ,*",Tracking!H:H,"*-55*",Tracking!H:H,"*?M"))</f>
        <v>0</v>
      </c>
      <c r="B17" s="196" t="s">
        <v>149</v>
      </c>
      <c r="C17" s="196"/>
      <c r="D17" s="41">
        <v>810.71749999999997</v>
      </c>
    </row>
    <row r="18" spans="1:4">
      <c r="A18" s="105">
        <f>SUM(COUNTIFS(Tracking!O:O,"*"&amp;B18&amp;",*",Tracking!H:H,"*-55*",Tracking!H:H,"*?M")+COUNTIFS(Tracking!O:O,"*"&amp;B18&amp;"  ,*",Tracking!H:H,"*-55*",Tracking!H:H,"*?M"))</f>
        <v>0</v>
      </c>
      <c r="B18" s="196" t="s">
        <v>143</v>
      </c>
      <c r="C18" s="196"/>
      <c r="D18" s="41">
        <v>809.42750000000001</v>
      </c>
    </row>
    <row r="19" spans="1:4">
      <c r="A19" s="105">
        <f>SUM(COUNTIFS(Tracking!O:O,"*"&amp;B19&amp;" ,*",Tracking!H:H,"*-55*",Tracking!H:H,"*?M")+COUNTIFS(Tracking!O:O,"*"&amp;B19&amp;"  ,*",Tracking!H:H,"*-55*",Tracking!H:H,"*?M"))</f>
        <v>0</v>
      </c>
      <c r="B19" s="196" t="s">
        <v>143</v>
      </c>
      <c r="C19" s="196"/>
      <c r="D19" s="41">
        <v>810.71749999999997</v>
      </c>
    </row>
    <row r="20" spans="1:4">
      <c r="A20" s="105">
        <f>COUNTIFS(Tracking!O:O,"*"&amp;B20&amp;",*",Tracking!H:H,"*-55*",Tracking!H:H,"*?M")</f>
        <v>0</v>
      </c>
      <c r="B20" s="196" t="s">
        <v>70</v>
      </c>
      <c r="C20" s="196"/>
      <c r="D20" s="41">
        <v>809.42750000000001</v>
      </c>
    </row>
    <row r="21" spans="1:4">
      <c r="A21" s="105">
        <f>SUM(COUNTIFS(Tracking!O:O,"*"&amp;B21&amp;",*",Tracking!H:H,"*-55*",Tracking!H:H,"*?M")+COUNTIFS(Tracking!O:O,"*"&amp;B21&amp;"  ,*",Tracking!H:H,"*-55*",Tracking!H:H,"*?M"))</f>
        <v>0</v>
      </c>
      <c r="B21" s="196" t="s">
        <v>73</v>
      </c>
      <c r="C21" s="196"/>
      <c r="D21" s="41">
        <v>809.42750000000001</v>
      </c>
    </row>
    <row r="22" spans="1:4">
      <c r="A22" s="105">
        <f>SUM(COUNTIFS(Tracking!O:O,"*"&amp;B22&amp;" ,*",Tracking!H:H,"*-55*",Tracking!H:H,"*?M")+COUNTIFS(Tracking!O:O,"*"&amp;B22&amp;"  ,*",Tracking!H:H,"*-55*",Tracking!H:H,"*?M"))</f>
        <v>0</v>
      </c>
      <c r="B22" s="196" t="s">
        <v>73</v>
      </c>
      <c r="C22" s="196"/>
      <c r="D22" s="41">
        <v>810.71749999999997</v>
      </c>
    </row>
    <row r="23" spans="1:4">
      <c r="A23" s="105">
        <f>COUNTIFS(Tracking!O:O,"*"&amp;B23&amp;",*",Tracking!H:H,"*-55*",Tracking!H:H,"*?M")</f>
        <v>2</v>
      </c>
      <c r="B23" s="196" t="s">
        <v>151</v>
      </c>
      <c r="C23" s="196"/>
      <c r="D23" s="41">
        <v>809.42750000000001</v>
      </c>
    </row>
    <row r="24" spans="1:4">
      <c r="A24" s="105">
        <f>COUNTIFS(Tracking!O:O,"*"&amp;B24&amp;",*",Tracking!H:H,"*-55*",Tracking!H:H,"*?M")</f>
        <v>3</v>
      </c>
      <c r="B24" s="196" t="s">
        <v>152</v>
      </c>
      <c r="C24" s="196"/>
      <c r="D24" s="41">
        <v>810.71749999999997</v>
      </c>
    </row>
    <row r="25" spans="1:4">
      <c r="A25" s="105">
        <f>SUM(COUNTIFS(Tracking!O:O,"*"&amp;B25&amp;",*",Tracking!H:H,"*-55*",Tracking!H:H,"*?M")+COUNTIFS(Tracking!O:O,"*"&amp;B25&amp;"  ,*",Tracking!H:H,"*-55*",Tracking!H:H,"*?M"))</f>
        <v>3</v>
      </c>
      <c r="B25" s="196" t="s">
        <v>144</v>
      </c>
      <c r="C25" s="196"/>
      <c r="D25" s="41">
        <v>854.52750000000003</v>
      </c>
    </row>
    <row r="26" spans="1:4">
      <c r="A26" s="105">
        <f>SUM(COUNTIFS(Tracking!O:O,"*"&amp;B26&amp;" ,*",Tracking!H:H,"*-55*",Tracking!H:H,"*?M")+COUNTIFS(Tracking!O:O,"*"&amp;B26&amp;"  ,*",Tracking!H:H,"*-55*",Tracking!H:H,"*?M"))</f>
        <v>3</v>
      </c>
      <c r="B26" s="196" t="s">
        <v>144</v>
      </c>
      <c r="C26" s="196"/>
      <c r="D26" s="41">
        <v>856.21749999999997</v>
      </c>
    </row>
    <row r="27" spans="1:4">
      <c r="A27" s="105">
        <f>SUM(COUNTIFS(Tracking!O:O,"*"&amp;B27&amp;",*",Tracking!H:H,"*-55*",Tracking!H:H,"*?M")+COUNTIFS(Tracking!O:O,"*"&amp;B27&amp;"  ,*",Tracking!H:H,"*-55*",Tracking!H:H,"*?M"))</f>
        <v>3</v>
      </c>
      <c r="B27" s="196" t="s">
        <v>77</v>
      </c>
      <c r="C27" s="196"/>
      <c r="D27" s="41">
        <v>809.42750000000001</v>
      </c>
    </row>
    <row r="28" spans="1:4" ht="15.75" thickBot="1">
      <c r="A28" s="105">
        <f>SUM(COUNTIFS(Tracking!O:O,"*"&amp;B28&amp;" ,*",Tracking!H:H,"*-55*",Tracking!H:H,"*?M")+COUNTIFS(Tracking!O:O,"*"&amp;B28&amp;"  ,*",Tracking!H:H,"*-55*",Tracking!H:H,"*?M"))</f>
        <v>3</v>
      </c>
      <c r="B28" s="197" t="s">
        <v>77</v>
      </c>
      <c r="C28" s="197"/>
      <c r="D28" s="42">
        <v>810.71749999999997</v>
      </c>
    </row>
  </sheetData>
  <sheetProtection sheet="1" objects="1" scenarios="1" selectLockedCells="1"/>
  <mergeCells count="28">
    <mergeCell ref="B6:C6"/>
    <mergeCell ref="G1:H1"/>
    <mergeCell ref="I1:L1"/>
    <mergeCell ref="B3:C3"/>
    <mergeCell ref="B4:C4"/>
    <mergeCell ref="B5:C5"/>
    <mergeCell ref="B18:C18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25:C25"/>
    <mergeCell ref="B26:C26"/>
    <mergeCell ref="B27:C27"/>
    <mergeCell ref="B28:C28"/>
    <mergeCell ref="B19:C19"/>
    <mergeCell ref="B20:C20"/>
    <mergeCell ref="B21:C21"/>
    <mergeCell ref="B22:C22"/>
    <mergeCell ref="B23:C23"/>
    <mergeCell ref="B24:C24"/>
  </mergeCells>
  <conditionalFormatting sqref="N1">
    <cfRule type="iconSet" priority="2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N1">
    <cfRule type="iconSet" priority="1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P28"/>
  <sheetViews>
    <sheetView workbookViewId="0">
      <selection activeCell="A15" sqref="A15"/>
    </sheetView>
  </sheetViews>
  <sheetFormatPr defaultRowHeight="15"/>
  <cols>
    <col min="1" max="1" width="13.7109375" style="20" bestFit="1" customWidth="1"/>
    <col min="2" max="2" width="14.140625" style="20" bestFit="1" customWidth="1"/>
    <col min="3" max="3" width="15.140625" style="20" bestFit="1" customWidth="1"/>
    <col min="4" max="4" width="15.5703125" style="20" customWidth="1"/>
    <col min="5" max="5" width="12.28515625" customWidth="1"/>
    <col min="6" max="6" width="17.28515625" customWidth="1"/>
    <col min="7" max="7" width="6.7109375" bestFit="1" customWidth="1"/>
    <col min="8" max="8" width="16.42578125" bestFit="1" customWidth="1"/>
    <col min="9" max="10" width="11.7109375" customWidth="1"/>
    <col min="11" max="11" width="11" customWidth="1"/>
    <col min="12" max="12" width="9.7109375" customWidth="1"/>
    <col min="13" max="13" width="26.42578125" bestFit="1" customWidth="1"/>
    <col min="14" max="14" width="16.7109375" bestFit="1" customWidth="1"/>
    <col min="15" max="15" width="44" bestFit="1" customWidth="1"/>
    <col min="16" max="16" width="13.140625" customWidth="1"/>
  </cols>
  <sheetData>
    <row r="1" spans="1:16" s="9" customFormat="1" ht="51" customHeight="1" thickBot="1">
      <c r="A1" s="6" t="s">
        <v>16</v>
      </c>
      <c r="B1" s="3">
        <f>Metrics!A4</f>
        <v>425</v>
      </c>
      <c r="C1" s="6" t="s">
        <v>49</v>
      </c>
      <c r="D1" s="3">
        <f>Metrics!A5</f>
        <v>-34</v>
      </c>
      <c r="E1" s="6" t="s">
        <v>50</v>
      </c>
      <c r="F1" s="4">
        <f>Metrics!A11</f>
        <v>0</v>
      </c>
      <c r="G1" s="147" t="s">
        <v>135</v>
      </c>
      <c r="H1" s="148"/>
      <c r="I1" s="137" t="str">
        <f ca="1">MID(CELL("filename",B1),FIND("]",CELL("filename",B1),1)+1,255)</f>
        <v>Viking Mobile NGTS Metrics</v>
      </c>
      <c r="J1" s="138"/>
      <c r="K1" s="138"/>
      <c r="L1" s="139"/>
      <c r="M1" s="6" t="s">
        <v>53</v>
      </c>
      <c r="N1" s="5">
        <f>Metrics!$A$6</f>
        <v>1.08</v>
      </c>
      <c r="O1" s="8"/>
      <c r="P1" s="1"/>
    </row>
    <row r="2" spans="1:16" ht="15.75" thickBot="1"/>
    <row r="3" spans="1:16" ht="15.75" thickBot="1">
      <c r="A3" s="38" t="s">
        <v>22</v>
      </c>
      <c r="B3" s="198" t="s">
        <v>154</v>
      </c>
      <c r="C3" s="198"/>
      <c r="D3" s="39" t="s">
        <v>59</v>
      </c>
    </row>
    <row r="4" spans="1:16">
      <c r="A4" s="34">
        <f>COUNTIFS(Tracking!O:O,"*"&amp;B4&amp;",*",Tracking!H:H,"*-55*",Tracking!H:H,"*?M")</f>
        <v>0</v>
      </c>
      <c r="B4" s="199" t="s">
        <v>147</v>
      </c>
      <c r="C4" s="199"/>
      <c r="D4" s="40">
        <v>791.98749999999995</v>
      </c>
    </row>
    <row r="5" spans="1:16">
      <c r="A5" s="34">
        <f>COUNTIFS(Tracking!O:O,"*"&amp;B5&amp;",*",Tracking!H:H,"*-55*",Tracking!H:H,"*?M")</f>
        <v>1</v>
      </c>
      <c r="B5" s="196" t="s">
        <v>148</v>
      </c>
      <c r="C5" s="196"/>
      <c r="D5" s="41">
        <v>851.01250000000005</v>
      </c>
    </row>
    <row r="6" spans="1:16">
      <c r="A6" s="34">
        <f>COUNTIFS(Tracking!O:O,"*"&amp;B6&amp;",*",Tracking!H:H,"*-55*",Tracking!H:H,"*?M")</f>
        <v>0</v>
      </c>
      <c r="B6" s="196" t="s">
        <v>65</v>
      </c>
      <c r="C6" s="196"/>
      <c r="D6" s="41"/>
    </row>
    <row r="7" spans="1:16">
      <c r="A7" s="34">
        <f>COUNTIFS(Tracking!O:O,"*"&amp;B7&amp;",*",Tracking!H:H,"*-55*",Tracking!H:H,"*?M")</f>
        <v>1</v>
      </c>
      <c r="B7" s="196" t="s">
        <v>337</v>
      </c>
      <c r="C7" s="196"/>
      <c r="D7" s="41"/>
    </row>
    <row r="8" spans="1:16">
      <c r="A8" s="34">
        <f>COUNTIFS(Tracking!O:O,"*"&amp;B8&amp;",*",Tracking!H:H,"*-55*",Tracking!H:H,"*?M")</f>
        <v>0</v>
      </c>
      <c r="B8" s="196" t="s">
        <v>63</v>
      </c>
      <c r="C8" s="196"/>
      <c r="D8" s="41">
        <v>854.52750000000003</v>
      </c>
    </row>
    <row r="9" spans="1:16">
      <c r="A9" s="105">
        <f>COUNTIFS(Tracking!O:O,"*"&amp;B9&amp;",*",Tracking!H:H,"*-55*",Tracking!H:H,"*?M")</f>
        <v>3</v>
      </c>
      <c r="B9" s="196" t="s">
        <v>125</v>
      </c>
      <c r="C9" s="196"/>
      <c r="D9" s="41">
        <v>854.52750000000003</v>
      </c>
    </row>
    <row r="10" spans="1:16">
      <c r="A10" s="105">
        <f>SUM(COUNTIFS(Tracking!O:O,"*"&amp;B10&amp;",*",Tracking!H:H,"*-55*",Tracking!H:H,"*?M")+COUNTIFS(Tracking!O:O,"*"&amp;B10&amp;"  ,*",Tracking!H:H,"*-55*",Tracking!H:H,"*?M"))</f>
        <v>0</v>
      </c>
      <c r="B10" s="196" t="s">
        <v>141</v>
      </c>
      <c r="C10" s="196"/>
      <c r="D10" s="41">
        <v>854.52750000000003</v>
      </c>
    </row>
    <row r="11" spans="1:16">
      <c r="A11" s="105">
        <f>SUM(COUNTIFS(Tracking!O:O,"*"&amp;B11&amp;" ,*",Tracking!H:H,"*-55*",Tracking!H:H,"*?M")+COUNTIFS(Tracking!O:O,"*"&amp;B11&amp;"  ,*",Tracking!H:H,"*-55*",Tracking!H:H,"*?M"))</f>
        <v>0</v>
      </c>
      <c r="B11" s="196" t="s">
        <v>141</v>
      </c>
      <c r="C11" s="196"/>
      <c r="D11" s="41">
        <v>856.21749999999997</v>
      </c>
    </row>
    <row r="12" spans="1:16">
      <c r="A12" s="105">
        <f>SUM(COUNTIFS(Tracking!O:O,"*"&amp;B12&amp;",*",Tracking!H:H,"*-55*",Tracking!H:H,"*?M")+COUNTIFS(Tracking!O:O,"*"&amp;B12&amp;"  ,*",Tracking!H:H,"*-55*",Tracking!H:H,"*?M"))</f>
        <v>0</v>
      </c>
      <c r="B12" s="196" t="s">
        <v>67</v>
      </c>
      <c r="C12" s="196"/>
      <c r="D12" s="41">
        <v>854.52750000000003</v>
      </c>
    </row>
    <row r="13" spans="1:16">
      <c r="A13" s="105">
        <f>SUM(COUNTIFS(Tracking!O:O,"*"&amp;B13&amp;" ,*",Tracking!H:H,"*-55*",Tracking!H:H,"*?M")+COUNTIFS(Tracking!O:O,"*"&amp;B13&amp;"  ,*",Tracking!H:H,"*-55*",Tracking!H:H,"*?M"))</f>
        <v>0</v>
      </c>
      <c r="B13" s="196" t="s">
        <v>67</v>
      </c>
      <c r="C13" s="196"/>
      <c r="D13" s="41">
        <v>856.21749999999997</v>
      </c>
    </row>
    <row r="14" spans="1:16">
      <c r="A14" s="105">
        <f>SUM(COUNTIFS(Tracking!O:O,"*"&amp;B14&amp;",*",Tracking!H:H,"*-55*",Tracking!H:H,"*?M")+COUNTIFS(Tracking!O:O,"*"&amp;B14&amp;"  ,*",Tracking!H:H,"*-55*",Tracking!H:H,"*?M"))</f>
        <v>0</v>
      </c>
      <c r="B14" s="196" t="s">
        <v>68</v>
      </c>
      <c r="C14" s="196"/>
      <c r="D14" s="41">
        <v>854.52750000000003</v>
      </c>
    </row>
    <row r="15" spans="1:16">
      <c r="A15" s="105">
        <f>SUM(COUNTIFS(Tracking!O:O,"*"&amp;B15&amp;" ,*",Tracking!H:H,"*-55*",Tracking!H:H,"*?M")+COUNTIFS(Tracking!O:O,"*"&amp;B15&amp;"  ,*",Tracking!H:H,"*-55*",Tracking!H:H,"*?M"))</f>
        <v>0</v>
      </c>
      <c r="B15" s="196" t="s">
        <v>68</v>
      </c>
      <c r="C15" s="196"/>
      <c r="D15" s="41">
        <v>856.21749999999997</v>
      </c>
    </row>
    <row r="16" spans="1:16">
      <c r="A16" s="105">
        <f>SUM(COUNTIFS(Tracking!O:O,"*"&amp;B16&amp;",*",Tracking!H:H,"*-55*",Tracking!H:H,"*?M")+COUNTIFS(Tracking!O:O,"*"&amp;B16&amp;"  ,*",Tracking!H:H,"*-55*",Tracking!H:H,"*?M"))</f>
        <v>0</v>
      </c>
      <c r="B16" s="196" t="s">
        <v>149</v>
      </c>
      <c r="C16" s="196"/>
      <c r="D16" s="41">
        <v>809.42750000000001</v>
      </c>
    </row>
    <row r="17" spans="1:4">
      <c r="A17" s="105">
        <f>SUM(COUNTIFS(Tracking!O:O,"*"&amp;B17&amp;" ,*",Tracking!H:H,"*-55*",Tracking!H:H,"*?M")+COUNTIFS(Tracking!O:O,"*"&amp;B17&amp;"  ,*",Tracking!H:H,"*-55*",Tracking!H:H,"*?M"))</f>
        <v>0</v>
      </c>
      <c r="B17" s="196" t="s">
        <v>149</v>
      </c>
      <c r="C17" s="196"/>
      <c r="D17" s="41">
        <v>810.71749999999997</v>
      </c>
    </row>
    <row r="18" spans="1:4">
      <c r="A18" s="105">
        <f>SUM(COUNTIFS(Tracking!O:O,"*"&amp;B18&amp;",*",Tracking!H:H,"*-55*",Tracking!H:H,"*?M")+COUNTIFS(Tracking!O:O,"*"&amp;B18&amp;"  ,*",Tracking!H:H,"*-55*",Tracking!H:H,"*?M"))</f>
        <v>0</v>
      </c>
      <c r="B18" s="196" t="s">
        <v>143</v>
      </c>
      <c r="C18" s="196"/>
      <c r="D18" s="41">
        <v>809.42750000000001</v>
      </c>
    </row>
    <row r="19" spans="1:4">
      <c r="A19" s="105">
        <f>SUM(COUNTIFS(Tracking!O:O,"*"&amp;B19&amp;" ,*",Tracking!H:H,"*-55*",Tracking!H:H,"*?M")+COUNTIFS(Tracking!O:O,"*"&amp;B19&amp;"  ,*",Tracking!H:H,"*-55*",Tracking!H:H,"*?M"))</f>
        <v>0</v>
      </c>
      <c r="B19" s="196" t="s">
        <v>143</v>
      </c>
      <c r="C19" s="196"/>
      <c r="D19" s="41">
        <v>810.71749999999997</v>
      </c>
    </row>
    <row r="20" spans="1:4">
      <c r="A20" s="105">
        <f>COUNTIFS(Tracking!O:O,"*"&amp;B20&amp;",*",Tracking!H:H,"*-55*",Tracking!H:H,"*?M")</f>
        <v>0</v>
      </c>
      <c r="B20" s="196" t="s">
        <v>70</v>
      </c>
      <c r="C20" s="196"/>
      <c r="D20" s="41">
        <v>809.42750000000001</v>
      </c>
    </row>
    <row r="21" spans="1:4">
      <c r="A21" s="105">
        <f>SUM(COUNTIFS(Tracking!O:O,"*"&amp;B21&amp;",*",Tracking!H:H,"*-55*",Tracking!H:H,"*?M")+COUNTIFS(Tracking!O:O,"*"&amp;B21&amp;"  ,*",Tracking!H:H,"*-55*",Tracking!H:H,"*?M"))</f>
        <v>0</v>
      </c>
      <c r="B21" s="196" t="s">
        <v>73</v>
      </c>
      <c r="C21" s="196"/>
      <c r="D21" s="41">
        <v>809.42750000000001</v>
      </c>
    </row>
    <row r="22" spans="1:4">
      <c r="A22" s="105">
        <f>SUM(COUNTIFS(Tracking!O:O,"*"&amp;B22&amp;" ,*",Tracking!H:H,"*-55*",Tracking!H:H,"*?M")+COUNTIFS(Tracking!O:O,"*"&amp;B22&amp;"  ,*",Tracking!H:H,"*-55*",Tracking!H:H,"*?M"))</f>
        <v>0</v>
      </c>
      <c r="B22" s="196" t="s">
        <v>73</v>
      </c>
      <c r="C22" s="196"/>
      <c r="D22" s="41">
        <v>810.71749999999997</v>
      </c>
    </row>
    <row r="23" spans="1:4">
      <c r="A23" s="105">
        <f>COUNTIFS(Tracking!O:O,"*"&amp;B23&amp;",*",Tracking!H:H,"*-55*",Tracking!H:H,"*?M")</f>
        <v>2</v>
      </c>
      <c r="B23" s="196" t="s">
        <v>151</v>
      </c>
      <c r="C23" s="196"/>
      <c r="D23" s="41">
        <v>809.42750000000001</v>
      </c>
    </row>
    <row r="24" spans="1:4">
      <c r="A24" s="105">
        <f>COUNTIFS(Tracking!O:O,"*"&amp;B24&amp;",*",Tracking!H:H,"*-55*",Tracking!H:H,"*?M")</f>
        <v>3</v>
      </c>
      <c r="B24" s="196" t="s">
        <v>152</v>
      </c>
      <c r="C24" s="196"/>
      <c r="D24" s="41">
        <v>810.71749999999997</v>
      </c>
    </row>
    <row r="25" spans="1:4">
      <c r="A25" s="105">
        <f>SUM(COUNTIFS(Tracking!O:O,"*"&amp;B25&amp;",*",Tracking!H:H,"*-55*",Tracking!H:H,"*?M")+COUNTIFS(Tracking!O:O,"*"&amp;B25&amp;"  ,*",Tracking!H:H,"*-55*",Tracking!H:H,"*?M"))</f>
        <v>3</v>
      </c>
      <c r="B25" s="196" t="s">
        <v>144</v>
      </c>
      <c r="C25" s="196"/>
      <c r="D25" s="41">
        <v>854.52750000000003</v>
      </c>
    </row>
    <row r="26" spans="1:4">
      <c r="A26" s="105">
        <f>SUM(COUNTIFS(Tracking!O:O,"*"&amp;B26&amp;" ,*",Tracking!H:H,"*-55*",Tracking!H:H,"*?M")+COUNTIFS(Tracking!O:O,"*"&amp;B26&amp;"  ,*",Tracking!H:H,"*-55*",Tracking!H:H,"*?M"))</f>
        <v>3</v>
      </c>
      <c r="B26" s="196" t="s">
        <v>144</v>
      </c>
      <c r="C26" s="196"/>
      <c r="D26" s="41">
        <v>856.21749999999997</v>
      </c>
    </row>
    <row r="27" spans="1:4">
      <c r="A27" s="105">
        <f>SUM(COUNTIFS(Tracking!O:O,"*"&amp;B27&amp;",*",Tracking!H:H,"*-55*",Tracking!H:H,"*?M")+COUNTIFS(Tracking!O:O,"*"&amp;B27&amp;"  ,*",Tracking!H:H,"*-55*",Tracking!H:H,"*?M"))</f>
        <v>3</v>
      </c>
      <c r="B27" s="196" t="s">
        <v>77</v>
      </c>
      <c r="C27" s="196"/>
      <c r="D27" s="41">
        <v>809.42750000000001</v>
      </c>
    </row>
    <row r="28" spans="1:4" ht="15.75" thickBot="1">
      <c r="A28" s="105">
        <f>SUM(COUNTIFS(Tracking!O:O,"*"&amp;B28&amp;" ,*",Tracking!H:H,"*-55*",Tracking!H:H,"*?M")+COUNTIFS(Tracking!O:O,"*"&amp;B28&amp;"  ,*",Tracking!H:H,"*-55*",Tracking!H:H,"*?M"))</f>
        <v>3</v>
      </c>
      <c r="B28" s="197" t="s">
        <v>77</v>
      </c>
      <c r="C28" s="197"/>
      <c r="D28" s="42">
        <v>810.71749999999997</v>
      </c>
    </row>
  </sheetData>
  <sheetProtection sheet="1" objects="1" scenarios="1" selectLockedCells="1"/>
  <mergeCells count="28">
    <mergeCell ref="B25:C25"/>
    <mergeCell ref="B26:C26"/>
    <mergeCell ref="B27:C27"/>
    <mergeCell ref="B28:C28"/>
    <mergeCell ref="B19:C19"/>
    <mergeCell ref="B20:C20"/>
    <mergeCell ref="B21:C21"/>
    <mergeCell ref="B22:C22"/>
    <mergeCell ref="B23:C23"/>
    <mergeCell ref="B24:C24"/>
    <mergeCell ref="B18:C18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6:C6"/>
    <mergeCell ref="G1:H1"/>
    <mergeCell ref="I1:L1"/>
    <mergeCell ref="B3:C3"/>
    <mergeCell ref="B4:C4"/>
    <mergeCell ref="B5:C5"/>
  </mergeCells>
  <conditionalFormatting sqref="N1">
    <cfRule type="iconSet" priority="2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N1">
    <cfRule type="iconSet" priority="1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2"/>
  <dimension ref="A1:I43"/>
  <sheetViews>
    <sheetView topLeftCell="A13" workbookViewId="0">
      <selection activeCell="D19" sqref="D19"/>
    </sheetView>
  </sheetViews>
  <sheetFormatPr defaultRowHeight="15"/>
  <cols>
    <col min="1" max="1" width="9.7109375" bestFit="1" customWidth="1"/>
    <col min="2" max="2" width="9.85546875" bestFit="1" customWidth="1"/>
    <col min="3" max="3" width="14.28515625" customWidth="1"/>
    <col min="5" max="5" width="9.85546875" bestFit="1" customWidth="1"/>
  </cols>
  <sheetData>
    <row r="1" spans="1:9">
      <c r="A1" s="202" t="s">
        <v>167</v>
      </c>
      <c r="B1" s="202"/>
      <c r="C1" s="202"/>
      <c r="D1" s="202"/>
      <c r="E1" s="202"/>
      <c r="F1" s="202"/>
      <c r="G1" s="202"/>
      <c r="H1" s="202"/>
      <c r="I1" s="202"/>
    </row>
    <row r="2" spans="1:9">
      <c r="A2" s="202"/>
      <c r="B2" s="202"/>
      <c r="C2" s="202"/>
      <c r="D2" s="202"/>
      <c r="E2" s="202"/>
      <c r="F2" s="202"/>
      <c r="G2" s="202"/>
      <c r="H2" s="202"/>
      <c r="I2" s="202"/>
    </row>
    <row r="3" spans="1:9">
      <c r="A3" t="s">
        <v>165</v>
      </c>
      <c r="B3" s="44">
        <f>Tracking!A3</f>
        <v>41723.469687500001</v>
      </c>
      <c r="D3" t="s">
        <v>166</v>
      </c>
      <c r="E3" s="44">
        <f>LOOKUP(2,1/(Tracking!C:C&lt;&gt;""),Tracking!C:C)</f>
        <v>41744.640451388892</v>
      </c>
      <c r="F3" s="44"/>
    </row>
    <row r="4" spans="1:9">
      <c r="E4" s="44"/>
    </row>
    <row r="5" spans="1:9">
      <c r="A5" t="s">
        <v>180</v>
      </c>
      <c r="D5" s="201"/>
      <c r="E5" s="201"/>
      <c r="F5" s="201"/>
      <c r="G5" s="201"/>
    </row>
    <row r="6" spans="1:9">
      <c r="E6" s="44"/>
    </row>
    <row r="7" spans="1:9">
      <c r="A7" t="s">
        <v>168</v>
      </c>
      <c r="D7">
        <f>Metrics!A4</f>
        <v>425</v>
      </c>
      <c r="E7" s="44"/>
    </row>
    <row r="8" spans="1:9">
      <c r="A8" t="s">
        <v>169</v>
      </c>
      <c r="D8" s="45">
        <f>Metrics!A5</f>
        <v>-34</v>
      </c>
    </row>
    <row r="9" spans="1:9">
      <c r="A9" t="s">
        <v>52</v>
      </c>
      <c r="D9" s="46">
        <f>Metrics!A6</f>
        <v>1.08</v>
      </c>
      <c r="E9" s="44"/>
    </row>
    <row r="10" spans="1:9">
      <c r="E10" s="44"/>
    </row>
    <row r="11" spans="1:9">
      <c r="A11" t="s">
        <v>731</v>
      </c>
      <c r="D11" s="45">
        <f>Metrics!A12</f>
        <v>405</v>
      </c>
      <c r="E11" s="46">
        <f>D11/$D$7</f>
        <v>0.95294117647058818</v>
      </c>
    </row>
    <row r="12" spans="1:9">
      <c r="A12" t="s">
        <v>170</v>
      </c>
      <c r="D12">
        <f>Metrics!A13</f>
        <v>454</v>
      </c>
      <c r="E12" s="46">
        <f>D12/$D$7</f>
        <v>1.0682352941176469</v>
      </c>
    </row>
    <row r="13" spans="1:9">
      <c r="A13" t="s">
        <v>20</v>
      </c>
      <c r="D13">
        <f>Metrics!A14</f>
        <v>456</v>
      </c>
      <c r="E13" s="46">
        <f>D13/$D$7</f>
        <v>1.0729411764705883</v>
      </c>
    </row>
    <row r="14" spans="1:9">
      <c r="E14" s="46"/>
    </row>
    <row r="15" spans="1:9">
      <c r="A15" t="s">
        <v>171</v>
      </c>
      <c r="D15" s="45">
        <f>Metrics!A26</f>
        <v>155</v>
      </c>
      <c r="E15" s="46">
        <f>D15/$D$7</f>
        <v>0.36470588235294116</v>
      </c>
    </row>
    <row r="16" spans="1:9">
      <c r="A16" t="s">
        <v>172</v>
      </c>
      <c r="D16" s="45">
        <f>Metrics!A27</f>
        <v>93</v>
      </c>
      <c r="E16" s="46">
        <f>D16/$D$7</f>
        <v>0.21882352941176469</v>
      </c>
    </row>
    <row r="17" spans="1:6">
      <c r="E17" s="46"/>
    </row>
    <row r="18" spans="1:6">
      <c r="A18" s="47" t="s">
        <v>173</v>
      </c>
      <c r="E18" s="46"/>
    </row>
    <row r="19" spans="1:6">
      <c r="A19" s="203" t="s">
        <v>174</v>
      </c>
      <c r="B19" s="203"/>
      <c r="C19" s="203"/>
      <c r="D19" s="45">
        <f>Metrics!A28</f>
        <v>0</v>
      </c>
      <c r="E19" s="46">
        <f t="shared" ref="E19:E24" si="0">D19/$D$7</f>
        <v>0</v>
      </c>
    </row>
    <row r="20" spans="1:6">
      <c r="A20" s="203" t="s">
        <v>175</v>
      </c>
      <c r="B20" s="203"/>
      <c r="C20" s="203"/>
      <c r="D20" s="45">
        <f>Metrics!A29</f>
        <v>0</v>
      </c>
      <c r="E20" s="46">
        <f t="shared" si="0"/>
        <v>0</v>
      </c>
    </row>
    <row r="21" spans="1:6">
      <c r="A21" s="203" t="s">
        <v>176</v>
      </c>
      <c r="B21" s="203"/>
      <c r="C21" s="203"/>
      <c r="D21" s="45">
        <f>Metrics!A30</f>
        <v>81</v>
      </c>
      <c r="E21" s="46">
        <f t="shared" si="0"/>
        <v>0.19058823529411764</v>
      </c>
    </row>
    <row r="22" spans="1:6">
      <c r="A22" s="203" t="s">
        <v>178</v>
      </c>
      <c r="B22" s="203"/>
      <c r="C22" s="203"/>
      <c r="D22" s="45">
        <f>Metrics!A32</f>
        <v>0</v>
      </c>
      <c r="E22" s="46">
        <f t="shared" si="0"/>
        <v>0</v>
      </c>
    </row>
    <row r="23" spans="1:6">
      <c r="A23" s="203" t="s">
        <v>179</v>
      </c>
      <c r="B23" s="203"/>
      <c r="C23" s="203"/>
      <c r="D23" s="45">
        <f>Metrics!A33</f>
        <v>0</v>
      </c>
      <c r="E23" s="46">
        <f t="shared" si="0"/>
        <v>0</v>
      </c>
    </row>
    <row r="24" spans="1:6">
      <c r="A24" s="203" t="s">
        <v>177</v>
      </c>
      <c r="B24" s="203"/>
      <c r="C24" s="203"/>
      <c r="D24" s="45">
        <f>Metrics!A34</f>
        <v>12</v>
      </c>
      <c r="E24" s="46">
        <f t="shared" si="0"/>
        <v>2.823529411764706E-2</v>
      </c>
    </row>
    <row r="25" spans="1:6">
      <c r="A25" s="48"/>
      <c r="B25" s="48"/>
      <c r="C25" s="48"/>
      <c r="D25" s="48"/>
    </row>
    <row r="26" spans="1:6">
      <c r="A26" s="47" t="s">
        <v>181</v>
      </c>
    </row>
    <row r="27" spans="1:6">
      <c r="A27" s="200" t="s">
        <v>126</v>
      </c>
      <c r="B27" s="200"/>
      <c r="C27" s="200"/>
      <c r="D27" s="200"/>
      <c r="E27">
        <f>'NGTS Total Metrics'!A4</f>
        <v>0</v>
      </c>
      <c r="F27" s="46">
        <f>E27/$D$7</f>
        <v>0</v>
      </c>
    </row>
    <row r="28" spans="1:6">
      <c r="A28" s="200" t="s">
        <v>125</v>
      </c>
      <c r="B28" s="200"/>
      <c r="C28" s="200"/>
      <c r="D28" s="200"/>
      <c r="E28">
        <f>'NGTS Total Metrics'!A5</f>
        <v>4</v>
      </c>
      <c r="F28" s="46">
        <f t="shared" ref="F28:F43" si="1">E28/$D$7</f>
        <v>9.4117647058823521E-3</v>
      </c>
    </row>
    <row r="29" spans="1:6">
      <c r="A29" s="200" t="s">
        <v>64</v>
      </c>
      <c r="B29" s="200"/>
      <c r="C29" s="200"/>
      <c r="D29" s="200"/>
      <c r="E29">
        <f>'NGTS Total Metrics'!A6</f>
        <v>5</v>
      </c>
      <c r="F29" s="46">
        <f t="shared" si="1"/>
        <v>1.1764705882352941E-2</v>
      </c>
    </row>
    <row r="30" spans="1:6">
      <c r="A30" s="200" t="s">
        <v>67</v>
      </c>
      <c r="B30" s="200"/>
      <c r="C30" s="200"/>
      <c r="D30" s="200"/>
      <c r="E30">
        <f>'NGTS Total Metrics'!A7</f>
        <v>51</v>
      </c>
      <c r="F30" s="46">
        <f t="shared" si="1"/>
        <v>0.12</v>
      </c>
    </row>
    <row r="31" spans="1:6">
      <c r="A31" s="200" t="s">
        <v>68</v>
      </c>
      <c r="B31" s="200"/>
      <c r="C31" s="200"/>
      <c r="D31" s="200"/>
      <c r="E31">
        <f>'NGTS Total Metrics'!A8</f>
        <v>0</v>
      </c>
      <c r="F31" s="46">
        <f t="shared" si="1"/>
        <v>0</v>
      </c>
    </row>
    <row r="32" spans="1:6">
      <c r="A32" s="200" t="s">
        <v>129</v>
      </c>
      <c r="B32" s="200"/>
      <c r="C32" s="200"/>
      <c r="D32" s="200"/>
      <c r="E32">
        <f>'NGTS Total Metrics'!A9</f>
        <v>1</v>
      </c>
      <c r="F32" s="46">
        <f t="shared" si="1"/>
        <v>2.352941176470588E-3</v>
      </c>
    </row>
    <row r="33" spans="1:6">
      <c r="A33" s="200" t="s">
        <v>127</v>
      </c>
      <c r="B33" s="200"/>
      <c r="C33" s="200"/>
      <c r="D33" s="200"/>
      <c r="E33">
        <f>'NGTS Total Metrics'!A10</f>
        <v>0</v>
      </c>
      <c r="F33" s="46">
        <f t="shared" si="1"/>
        <v>0</v>
      </c>
    </row>
    <row r="34" spans="1:6">
      <c r="A34" s="200" t="s">
        <v>69</v>
      </c>
      <c r="B34" s="200"/>
      <c r="C34" s="200"/>
      <c r="D34" s="200"/>
      <c r="E34">
        <f>'NGTS Total Metrics'!A11</f>
        <v>0</v>
      </c>
      <c r="F34" s="46">
        <f t="shared" si="1"/>
        <v>0</v>
      </c>
    </row>
    <row r="35" spans="1:6">
      <c r="A35" s="200" t="s">
        <v>71</v>
      </c>
      <c r="B35" s="200"/>
      <c r="C35" s="200"/>
      <c r="D35" s="200"/>
      <c r="E35">
        <f>'NGTS Total Metrics'!A12</f>
        <v>0</v>
      </c>
      <c r="F35" s="46">
        <f t="shared" si="1"/>
        <v>0</v>
      </c>
    </row>
    <row r="36" spans="1:6">
      <c r="A36" s="200" t="s">
        <v>72</v>
      </c>
      <c r="B36" s="200"/>
      <c r="C36" s="200"/>
      <c r="D36" s="200"/>
      <c r="E36">
        <f>'NGTS Total Metrics'!A13</f>
        <v>7</v>
      </c>
      <c r="F36" s="46">
        <f t="shared" si="1"/>
        <v>1.6470588235294119E-2</v>
      </c>
    </row>
    <row r="37" spans="1:6">
      <c r="A37" s="200" t="s">
        <v>74</v>
      </c>
      <c r="B37" s="200"/>
      <c r="C37" s="200"/>
      <c r="D37" s="200"/>
      <c r="E37">
        <f>'NGTS Total Metrics'!A14</f>
        <v>7</v>
      </c>
      <c r="F37" s="46">
        <f t="shared" si="1"/>
        <v>1.6470588235294119E-2</v>
      </c>
    </row>
    <row r="38" spans="1:6">
      <c r="A38" s="200" t="s">
        <v>75</v>
      </c>
      <c r="B38" s="200"/>
      <c r="C38" s="200"/>
      <c r="D38" s="200"/>
      <c r="E38">
        <f>'NGTS Total Metrics'!A15</f>
        <v>5</v>
      </c>
      <c r="F38" s="46">
        <f t="shared" si="1"/>
        <v>1.1764705882352941E-2</v>
      </c>
    </row>
    <row r="39" spans="1:6">
      <c r="A39" s="200" t="s">
        <v>76</v>
      </c>
      <c r="B39" s="200"/>
      <c r="C39" s="200"/>
      <c r="D39" s="200"/>
      <c r="E39">
        <f>'NGTS Total Metrics'!A16</f>
        <v>62</v>
      </c>
      <c r="F39" s="46">
        <f t="shared" si="1"/>
        <v>0.14588235294117646</v>
      </c>
    </row>
    <row r="40" spans="1:6">
      <c r="A40" s="200" t="s">
        <v>138</v>
      </c>
      <c r="B40" s="200"/>
      <c r="C40" s="200"/>
      <c r="D40" s="200"/>
      <c r="E40">
        <f>'NGTS Total Metrics'!A17</f>
        <v>3</v>
      </c>
      <c r="F40" s="46">
        <f t="shared" si="1"/>
        <v>7.058823529411765E-3</v>
      </c>
    </row>
    <row r="41" spans="1:6">
      <c r="A41" s="200" t="s">
        <v>139</v>
      </c>
      <c r="B41" s="200"/>
      <c r="C41" s="200"/>
      <c r="D41" s="200"/>
      <c r="E41">
        <f>'NGTS Total Metrics'!A18</f>
        <v>1</v>
      </c>
      <c r="F41" s="46">
        <f t="shared" si="1"/>
        <v>2.352941176470588E-3</v>
      </c>
    </row>
    <row r="42" spans="1:6">
      <c r="A42" s="200" t="s">
        <v>140</v>
      </c>
      <c r="B42" s="200"/>
      <c r="C42" s="200"/>
      <c r="D42" s="200"/>
      <c r="E42">
        <f>'NGTS Total Metrics'!A19</f>
        <v>0</v>
      </c>
      <c r="F42" s="46">
        <f t="shared" si="1"/>
        <v>0</v>
      </c>
    </row>
    <row r="43" spans="1:6">
      <c r="A43" s="200" t="s">
        <v>128</v>
      </c>
      <c r="B43" s="200"/>
      <c r="C43" s="200"/>
      <c r="D43" s="200"/>
      <c r="E43">
        <f>'NGTS Total Metrics'!A20</f>
        <v>1</v>
      </c>
      <c r="F43" s="46">
        <f t="shared" si="1"/>
        <v>2.352941176470588E-3</v>
      </c>
    </row>
  </sheetData>
  <mergeCells count="25">
    <mergeCell ref="A41:D41"/>
    <mergeCell ref="A42:D42"/>
    <mergeCell ref="A43:D43"/>
    <mergeCell ref="A19:C19"/>
    <mergeCell ref="A20:C20"/>
    <mergeCell ref="A24:C24"/>
    <mergeCell ref="A23:C23"/>
    <mergeCell ref="A22:C22"/>
    <mergeCell ref="A21:C21"/>
    <mergeCell ref="A32:D32"/>
    <mergeCell ref="A33:D33"/>
    <mergeCell ref="A34:D34"/>
    <mergeCell ref="A35:D35"/>
    <mergeCell ref="A36:D36"/>
    <mergeCell ref="A37:D37"/>
    <mergeCell ref="A27:D27"/>
    <mergeCell ref="A39:D39"/>
    <mergeCell ref="A40:D40"/>
    <mergeCell ref="D5:G5"/>
    <mergeCell ref="A1:I2"/>
    <mergeCell ref="A28:D28"/>
    <mergeCell ref="A29:D29"/>
    <mergeCell ref="A30:D30"/>
    <mergeCell ref="A31:D31"/>
    <mergeCell ref="A38:D38"/>
  </mergeCells>
  <pageMargins left="0.7" right="0.7" top="0.75" bottom="0.75" header="0.3" footer="0.3"/>
  <pageSetup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AE2"/>
  <sheetViews>
    <sheetView zoomScaleNormal="100" workbookViewId="0">
      <pane ySplit="2" topLeftCell="A3" activePane="bottomLeft" state="frozen"/>
      <selection activeCell="B1" sqref="B1"/>
      <selection pane="bottomLeft" activeCell="C11" sqref="C11"/>
    </sheetView>
  </sheetViews>
  <sheetFormatPr defaultRowHeight="15"/>
  <cols>
    <col min="1" max="4" width="15.85546875" bestFit="1" customWidth="1"/>
    <col min="5" max="5" width="12.28515625" customWidth="1"/>
    <col min="6" max="6" width="17.28515625" customWidth="1"/>
    <col min="7" max="7" width="6.7109375" bestFit="1" customWidth="1"/>
    <col min="8" max="8" width="20.140625" customWidth="1"/>
    <col min="9" max="9" width="11.7109375" customWidth="1"/>
    <col min="10" max="10" width="27.28515625" customWidth="1"/>
    <col min="11" max="11" width="17.28515625" customWidth="1"/>
    <col min="12" max="12" width="6.7109375" customWidth="1"/>
    <col min="13" max="13" width="20.140625" customWidth="1"/>
    <col min="14" max="17" width="13.42578125" customWidth="1"/>
    <col min="18" max="18" width="27.28515625" customWidth="1"/>
    <col min="19" max="19" width="13.7109375" customWidth="1"/>
    <col min="20" max="24" width="34.7109375" customWidth="1"/>
    <col min="27" max="27" width="18.85546875" style="79" bestFit="1" customWidth="1"/>
    <col min="28" max="31" width="15.42578125" customWidth="1"/>
  </cols>
  <sheetData>
    <row r="1" spans="1:31" s="128" customFormat="1" ht="51" customHeight="1" thickBot="1">
      <c r="A1" s="49" t="s">
        <v>16</v>
      </c>
      <c r="B1" s="50">
        <f>'Deployment Metrics'!A4</f>
        <v>22</v>
      </c>
      <c r="C1" s="51" t="s">
        <v>49</v>
      </c>
      <c r="D1" s="134">
        <f>'Deployment Metrics'!A5</f>
        <v>22</v>
      </c>
      <c r="E1" s="53" t="s">
        <v>50</v>
      </c>
      <c r="F1" s="103">
        <f>'Deployment Metrics'!A11</f>
        <v>0</v>
      </c>
      <c r="G1" s="154"/>
      <c r="H1" s="155"/>
      <c r="I1" s="155"/>
      <c r="J1" s="155"/>
      <c r="K1" s="129"/>
      <c r="L1" s="130"/>
      <c r="M1" s="10" t="s">
        <v>53</v>
      </c>
      <c r="N1" s="54">
        <f>'Deployment Metrics'!$A$6</f>
        <v>0</v>
      </c>
      <c r="O1" s="11"/>
      <c r="P1" s="43"/>
      <c r="Q1" s="43"/>
      <c r="R1" s="43"/>
      <c r="S1" s="43"/>
      <c r="T1" s="43"/>
      <c r="AA1" s="135"/>
    </row>
    <row r="2" spans="1:31" s="16" customFormat="1" ht="41.25" customHeight="1">
      <c r="A2" s="12" t="s">
        <v>0</v>
      </c>
      <c r="B2" s="13" t="s">
        <v>1</v>
      </c>
      <c r="C2" s="12" t="s">
        <v>2</v>
      </c>
      <c r="D2" s="13" t="s">
        <v>3</v>
      </c>
      <c r="E2" s="14" t="s">
        <v>4</v>
      </c>
      <c r="F2" s="58" t="s">
        <v>1906</v>
      </c>
      <c r="G2" s="15" t="s">
        <v>6</v>
      </c>
      <c r="H2" s="15" t="s">
        <v>1905</v>
      </c>
      <c r="I2" s="15" t="s">
        <v>10</v>
      </c>
      <c r="J2" s="14" t="s">
        <v>11</v>
      </c>
      <c r="K2" s="58" t="s">
        <v>1910</v>
      </c>
      <c r="L2" s="15" t="s">
        <v>6</v>
      </c>
      <c r="M2" s="15" t="s">
        <v>1909</v>
      </c>
      <c r="N2" s="14" t="s">
        <v>8</v>
      </c>
      <c r="O2" s="14" t="s">
        <v>9</v>
      </c>
      <c r="P2" s="15" t="s">
        <v>10</v>
      </c>
      <c r="Q2" s="14" t="s">
        <v>1908</v>
      </c>
      <c r="R2" s="14" t="s">
        <v>11</v>
      </c>
      <c r="S2" s="14" t="s">
        <v>1914</v>
      </c>
      <c r="T2" s="14" t="s">
        <v>156</v>
      </c>
      <c r="U2" s="131" t="s">
        <v>1912</v>
      </c>
      <c r="V2" s="131" t="s">
        <v>1911</v>
      </c>
      <c r="W2" s="131" t="s">
        <v>1907</v>
      </c>
      <c r="X2" s="131" t="s">
        <v>1913</v>
      </c>
      <c r="Y2" s="16" t="s">
        <v>14</v>
      </c>
      <c r="Z2" s="16" t="s">
        <v>15</v>
      </c>
      <c r="AA2" s="136" t="s">
        <v>56</v>
      </c>
      <c r="AB2" s="16" t="s">
        <v>1919</v>
      </c>
      <c r="AC2" s="16" t="s">
        <v>1920</v>
      </c>
      <c r="AD2" s="16" t="s">
        <v>1921</v>
      </c>
      <c r="AE2" s="16" t="s">
        <v>1922</v>
      </c>
    </row>
  </sheetData>
  <mergeCells count="1">
    <mergeCell ref="G1:J1"/>
  </mergeCells>
  <conditionalFormatting sqref="N1">
    <cfRule type="iconSet" priority="9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G1 K1:L1">
    <cfRule type="containsText" dxfId="8" priority="9" operator="containsText" text="100">
      <formula>NOT(ISERROR(SEARCH("100",G1)))</formula>
    </cfRule>
  </conditionalFormatting>
  <conditionalFormatting sqref="L1 I2">
    <cfRule type="duplicateValues" dxfId="7" priority="11"/>
    <cfRule type="duplicateValues" dxfId="6" priority="12"/>
  </conditionalFormatting>
  <conditionalFormatting sqref="G1:G2">
    <cfRule type="duplicateValues" dxfId="5" priority="10"/>
  </conditionalFormatting>
  <conditionalFormatting sqref="N2">
    <cfRule type="duplicateValues" dxfId="4" priority="7"/>
    <cfRule type="duplicateValues" dxfId="3" priority="8"/>
  </conditionalFormatting>
  <conditionalFormatting sqref="L2">
    <cfRule type="duplicateValues" dxfId="2" priority="6"/>
  </conditionalFormatting>
  <conditionalFormatting sqref="P2">
    <cfRule type="duplicateValues" dxfId="1" priority="1"/>
    <cfRule type="duplicateValues" dxfId="0" priority="2"/>
  </conditionalFormatting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XFD1048572"/>
  <sheetViews>
    <sheetView workbookViewId="0">
      <pane ySplit="2" topLeftCell="A3" activePane="bottomLeft" state="frozen"/>
      <selection pane="bottomLeft" activeCell="B10" sqref="B10:D10"/>
    </sheetView>
  </sheetViews>
  <sheetFormatPr defaultRowHeight="15"/>
  <cols>
    <col min="1" max="1" width="13.7109375" style="20" bestFit="1" customWidth="1"/>
    <col min="2" max="2" width="14.140625" style="20" bestFit="1" customWidth="1"/>
    <col min="3" max="3" width="15.140625" style="20" bestFit="1" customWidth="1"/>
    <col min="4" max="4" width="15.5703125" style="20" customWidth="1"/>
    <col min="5" max="5" width="12.28515625" customWidth="1"/>
    <col min="6" max="6" width="17.28515625" customWidth="1"/>
    <col min="7" max="7" width="6.7109375" bestFit="1" customWidth="1"/>
    <col min="8" max="8" width="16.42578125" bestFit="1" customWidth="1"/>
    <col min="9" max="10" width="11.7109375" customWidth="1"/>
    <col min="11" max="11" width="11" customWidth="1"/>
    <col min="12" max="13" width="9.7109375" customWidth="1"/>
    <col min="14" max="14" width="16.7109375" bestFit="1" customWidth="1"/>
    <col min="15" max="15" width="17.7109375" customWidth="1"/>
    <col min="16" max="16" width="13.140625" customWidth="1"/>
  </cols>
  <sheetData>
    <row r="1" spans="1:17" s="9" customFormat="1" ht="45.75" thickBot="1">
      <c r="A1" s="6" t="s">
        <v>16</v>
      </c>
      <c r="B1" s="3">
        <f>'Deployment Metrics'!A4</f>
        <v>22</v>
      </c>
      <c r="C1" s="6" t="s">
        <v>49</v>
      </c>
      <c r="D1" s="4">
        <f>'Deployment Metrics'!A5</f>
        <v>22</v>
      </c>
      <c r="E1" s="6" t="s">
        <v>50</v>
      </c>
      <c r="F1" s="4">
        <f>'Deployment Metrics'!A11</f>
        <v>0</v>
      </c>
      <c r="G1" s="147" t="s">
        <v>135</v>
      </c>
      <c r="H1" s="148"/>
      <c r="I1" s="137" t="str">
        <f ca="1">MID(CELL("filename",B1),FIND("]",CELL("filename",B1),1)+1,255)</f>
        <v>Deployment Metrics</v>
      </c>
      <c r="J1" s="138"/>
      <c r="K1" s="138"/>
      <c r="L1" s="138"/>
      <c r="M1" s="139"/>
      <c r="N1" s="6" t="s">
        <v>53</v>
      </c>
      <c r="O1" s="5">
        <f>'Deployment Metrics'!$A$6</f>
        <v>0</v>
      </c>
      <c r="P1" s="8"/>
      <c r="Q1" s="1"/>
    </row>
    <row r="2" spans="1:17" ht="15.75" thickBot="1"/>
    <row r="3" spans="1:17" ht="15.75" thickBot="1">
      <c r="A3" s="132" t="s">
        <v>22</v>
      </c>
      <c r="B3" s="166" t="s">
        <v>21</v>
      </c>
      <c r="C3" s="167"/>
      <c r="D3" s="168"/>
    </row>
    <row r="4" spans="1:17" s="2" customFormat="1">
      <c r="A4" s="22">
        <v>22</v>
      </c>
      <c r="B4" s="169" t="s">
        <v>17</v>
      </c>
      <c r="C4" s="169"/>
      <c r="D4" s="170"/>
    </row>
    <row r="5" spans="1:17">
      <c r="A5" s="23">
        <f>A4-A10</f>
        <v>22</v>
      </c>
      <c r="B5" s="164" t="s">
        <v>46</v>
      </c>
      <c r="C5" s="164"/>
      <c r="D5" s="165"/>
    </row>
    <row r="6" spans="1:17">
      <c r="A6" s="24">
        <f>A10/A4</f>
        <v>0</v>
      </c>
      <c r="B6" s="164" t="s">
        <v>52</v>
      </c>
      <c r="C6" s="164"/>
      <c r="D6" s="165"/>
    </row>
    <row r="7" spans="1:17">
      <c r="A7" s="25" t="e">
        <f>SUM(A8/A10)</f>
        <v>#DIV/0!</v>
      </c>
      <c r="B7" s="164" t="s">
        <v>54</v>
      </c>
      <c r="C7" s="164"/>
      <c r="D7" s="165"/>
    </row>
    <row r="8" spans="1:17">
      <c r="A8" s="25">
        <f>SUM('Deployment Tracking'!AA3:AA65276)</f>
        <v>0</v>
      </c>
      <c r="B8" s="164" t="s">
        <v>55</v>
      </c>
      <c r="C8" s="164"/>
      <c r="D8" s="165"/>
    </row>
    <row r="9" spans="1:17">
      <c r="A9" s="23">
        <f>COUNTA('Deployment Tracking'!A3:A65276)</f>
        <v>0</v>
      </c>
      <c r="B9" s="164" t="s">
        <v>18</v>
      </c>
      <c r="C9" s="164"/>
      <c r="D9" s="165"/>
    </row>
    <row r="10" spans="1:17">
      <c r="A10" s="23">
        <f>COUNTA('Deployment Tracking'!C3:C65276)</f>
        <v>0</v>
      </c>
      <c r="B10" s="164" t="s">
        <v>47</v>
      </c>
      <c r="C10" s="164"/>
      <c r="D10" s="165"/>
    </row>
    <row r="11" spans="1:17">
      <c r="A11" s="23">
        <f>A9-A10</f>
        <v>0</v>
      </c>
      <c r="B11" s="171" t="s">
        <v>48</v>
      </c>
      <c r="C11" s="171"/>
      <c r="D11" s="172"/>
    </row>
    <row r="12" spans="1:17">
      <c r="A12" s="26">
        <f>COUNTIF('Deployment Tracking'!Y3:Y65276,TRUE)</f>
        <v>0</v>
      </c>
      <c r="B12" s="164" t="s">
        <v>23</v>
      </c>
      <c r="C12" s="164"/>
      <c r="D12" s="165"/>
    </row>
    <row r="13" spans="1:17">
      <c r="A13" s="26">
        <f>COUNTIF('Deployment Tracking'!Z3:Z65276,TRUE)</f>
        <v>0</v>
      </c>
      <c r="B13" s="164" t="s">
        <v>20</v>
      </c>
      <c r="C13" s="164"/>
      <c r="D13" s="165"/>
    </row>
    <row r="14" spans="1:17">
      <c r="A14" s="23">
        <f>COUNTIFS('Deployment Tracking'!H:H,"*-51*",'Deployment Tracking'!H:H,"*4")</f>
        <v>0</v>
      </c>
      <c r="B14" s="164" t="s">
        <v>136</v>
      </c>
      <c r="C14" s="164"/>
      <c r="D14" s="165"/>
    </row>
    <row r="15" spans="1:17">
      <c r="A15" s="23">
        <f>COUNTIFS('Deployment Tracking'!H:H,"*-51*",'Deployment Tracking'!H:H,"*6")</f>
        <v>0</v>
      </c>
      <c r="B15" s="164" t="s">
        <v>137</v>
      </c>
      <c r="C15" s="164"/>
      <c r="D15" s="165"/>
    </row>
    <row r="16" spans="1:17">
      <c r="A16" s="23">
        <f>SUM(COUNTIFS('Deployment Tracking'!H:H,"*-52*",'Deployment Tracking'!H:H,"*4")+COUNTIFS('Deployment Tracking'!H:H,"*-52*",'Deployment Tracking'!H:H,"*6"))</f>
        <v>0</v>
      </c>
      <c r="B16" s="158" t="s">
        <v>428</v>
      </c>
      <c r="C16" s="159"/>
      <c r="D16" s="160"/>
    </row>
    <row r="17" spans="1:4">
      <c r="A17" s="23">
        <f>COUNTIFS('Deployment Tracking'!H:H,"*-55*",'Deployment Tracking'!H:H,"*?P")</f>
        <v>0</v>
      </c>
      <c r="B17" s="164" t="s">
        <v>158</v>
      </c>
      <c r="C17" s="164"/>
      <c r="D17" s="165"/>
    </row>
    <row r="18" spans="1:4">
      <c r="A18" s="23"/>
      <c r="B18" s="158" t="s">
        <v>1900</v>
      </c>
      <c r="C18" s="159"/>
      <c r="D18" s="160"/>
    </row>
    <row r="19" spans="1:4">
      <c r="A19" s="23">
        <f>COUNTIFS('Deployment Tracking'!H:H,"-53*",'Deployment Tracking'!H:H,"*4")</f>
        <v>0</v>
      </c>
      <c r="B19" s="164" t="s">
        <v>145</v>
      </c>
      <c r="C19" s="164"/>
      <c r="D19" s="165"/>
    </row>
    <row r="20" spans="1:4">
      <c r="A20" s="23">
        <f>COUNTIFS('Deployment Tracking'!H:H,"-53*",'Deployment Tracking'!H:H,"*6")</f>
        <v>0</v>
      </c>
      <c r="B20" s="164" t="s">
        <v>146</v>
      </c>
      <c r="C20" s="164"/>
      <c r="D20" s="165"/>
    </row>
    <row r="21" spans="1:4">
      <c r="A21" s="23">
        <f>SUM(COUNTIFS('Deployment Tracking'!H:H,"*-54*",'Deployment Tracking'!H:H,"*4")+COUNTIFS('Deployment Tracking'!H:H,"*-54*",'Deployment Tracking'!H:H,"*6"))</f>
        <v>0</v>
      </c>
      <c r="B21" s="158" t="s">
        <v>429</v>
      </c>
      <c r="C21" s="159"/>
      <c r="D21" s="160"/>
    </row>
    <row r="22" spans="1:4">
      <c r="A22" s="23">
        <f>COUNTIFS('Deployment Tracking'!H:H,"*-55*",'Deployment Tracking'!H:H,"*?M")</f>
        <v>0</v>
      </c>
      <c r="B22" s="164" t="s">
        <v>157</v>
      </c>
      <c r="C22" s="164"/>
      <c r="D22" s="165"/>
    </row>
    <row r="23" spans="1:4">
      <c r="A23" s="23"/>
      <c r="B23" s="158" t="s">
        <v>1901</v>
      </c>
      <c r="C23" s="159"/>
      <c r="D23" s="160"/>
    </row>
    <row r="24" spans="1:4">
      <c r="A24" s="23">
        <f>SUM(COUNTIF('Deployment Tracking'!T:T,{"*"})-1)</f>
        <v>0</v>
      </c>
      <c r="B24" s="158" t="s">
        <v>1904</v>
      </c>
      <c r="C24" s="159"/>
      <c r="D24" s="160"/>
    </row>
    <row r="25" spans="1:4">
      <c r="A25" s="23">
        <f>SUM('Deployment Inspect. Failures'!A4:A28)+SUM('Deploy. Chan. Test Failures'!A4:A33)</f>
        <v>0</v>
      </c>
      <c r="B25" s="164" t="s">
        <v>57</v>
      </c>
      <c r="C25" s="164"/>
      <c r="D25" s="165"/>
    </row>
    <row r="26" spans="1:4">
      <c r="A26" s="23">
        <f>SUM(COUNTIF('Deployment Tracking'!O3:O65276,"*"))</f>
        <v>0</v>
      </c>
      <c r="B26" s="164" t="s">
        <v>51</v>
      </c>
      <c r="C26" s="164"/>
      <c r="D26" s="165"/>
    </row>
    <row r="27" spans="1:4">
      <c r="A27" s="23">
        <f>SUM(COUNTIFS('Deployment Tracking'!H:H,"-51*",'Deployment Tracking'!H:H,"*4",'Deployment Tracking'!O:O,"*"))</f>
        <v>0</v>
      </c>
      <c r="B27" s="164" t="s">
        <v>159</v>
      </c>
      <c r="C27" s="164"/>
      <c r="D27" s="165"/>
    </row>
    <row r="28" spans="1:4">
      <c r="A28" s="23">
        <f>SUM(COUNTIFS('Deployment Tracking'!H:H,"-51*",'Deployment Tracking'!H:H,"*6",'Deployment Tracking'!O:O,"*"))</f>
        <v>0</v>
      </c>
      <c r="B28" s="164" t="s">
        <v>160</v>
      </c>
      <c r="C28" s="164"/>
      <c r="D28" s="165"/>
    </row>
    <row r="29" spans="1:4">
      <c r="A29" s="23">
        <f>SUM(COUNTIFS('Deployment Tracking'!H:H,"*-55*",'Deployment Tracking'!H:H,"*?P",'Deployment Tracking'!O:O,"*"))</f>
        <v>0</v>
      </c>
      <c r="B29" s="164" t="s">
        <v>161</v>
      </c>
      <c r="C29" s="164"/>
      <c r="D29" s="165"/>
    </row>
    <row r="30" spans="1:4">
      <c r="A30" s="23"/>
      <c r="B30" s="158" t="s">
        <v>1902</v>
      </c>
      <c r="C30" s="159"/>
      <c r="D30" s="160"/>
    </row>
    <row r="31" spans="1:4">
      <c r="A31" s="23">
        <f>SUM(COUNTIFS('Deployment Tracking'!H:H,"*-53*",'Deployment Tracking'!H:H,"*4",'Deployment Tracking'!O:O,"*"))</f>
        <v>0</v>
      </c>
      <c r="B31" s="164" t="s">
        <v>163</v>
      </c>
      <c r="C31" s="164"/>
      <c r="D31" s="165"/>
    </row>
    <row r="32" spans="1:4">
      <c r="A32" s="23">
        <f>SUM(COUNTIFS('Deployment Tracking'!H:H,"*-53*",'Deployment Tracking'!H:H,"*6",'Deployment Tracking'!O:O,"*"))</f>
        <v>0</v>
      </c>
      <c r="B32" s="164" t="s">
        <v>162</v>
      </c>
      <c r="C32" s="164"/>
      <c r="D32" s="165"/>
    </row>
    <row r="33" spans="1:4">
      <c r="A33" s="23">
        <f>SUM(COUNTIFS('Deployment Tracking'!H:H,"*-55*",'Deployment Tracking'!H:H,"*?M",'Deployment Tracking'!O:O,"*"))</f>
        <v>0</v>
      </c>
      <c r="B33" s="164" t="s">
        <v>164</v>
      </c>
      <c r="C33" s="164"/>
      <c r="D33" s="165"/>
    </row>
    <row r="34" spans="1:4" ht="15.75" thickBot="1">
      <c r="A34" s="27"/>
      <c r="B34" s="173" t="s">
        <v>1903</v>
      </c>
      <c r="C34" s="173"/>
      <c r="D34" s="174"/>
    </row>
    <row r="37" spans="1:4">
      <c r="C37" s="28"/>
    </row>
    <row r="38" spans="1:4">
      <c r="C38" s="28"/>
    </row>
    <row r="39" spans="1:4">
      <c r="C39" s="28"/>
    </row>
    <row r="40" spans="1:4">
      <c r="C40" s="28"/>
    </row>
    <row r="65512" spans="1:1">
      <c r="A65512" s="29"/>
    </row>
    <row r="65515" spans="1:1">
      <c r="A65515" s="30" t="e">
        <f>SUM(A8/A10)*1200</f>
        <v>#DIV/0!</v>
      </c>
    </row>
    <row r="1048566" spans="16384:16384">
      <c r="XFD1048566" t="s">
        <v>130</v>
      </c>
    </row>
    <row r="1048567" spans="16384:16384">
      <c r="XFD1048567" t="s">
        <v>78</v>
      </c>
    </row>
    <row r="1048568" spans="16384:16384">
      <c r="XFD1048568" t="s">
        <v>81</v>
      </c>
    </row>
    <row r="1048569" spans="16384:16384">
      <c r="XFD1048569" t="s">
        <v>131</v>
      </c>
    </row>
    <row r="1048570" spans="16384:16384">
      <c r="XFD1048570" t="s">
        <v>132</v>
      </c>
    </row>
    <row r="1048571" spans="16384:16384">
      <c r="XFD1048571" t="s">
        <v>133</v>
      </c>
    </row>
    <row r="1048572" spans="16384:16384">
      <c r="XFD1048572" t="s">
        <v>134</v>
      </c>
    </row>
  </sheetData>
  <sheetProtection sheet="1" objects="1" scenarios="1"/>
  <mergeCells count="34">
    <mergeCell ref="B6:D6"/>
    <mergeCell ref="G1:H1"/>
    <mergeCell ref="I1:M1"/>
    <mergeCell ref="B3:D3"/>
    <mergeCell ref="B4:D4"/>
    <mergeCell ref="B5:D5"/>
    <mergeCell ref="B17:D17"/>
    <mergeCell ref="B7:D7"/>
    <mergeCell ref="B8:D8"/>
    <mergeCell ref="B9:D9"/>
    <mergeCell ref="B10:D10"/>
    <mergeCell ref="B11:D11"/>
    <mergeCell ref="B12:D12"/>
    <mergeCell ref="B13:D13"/>
    <mergeCell ref="B14:D14"/>
    <mergeCell ref="B15:D15"/>
    <mergeCell ref="B16:D16"/>
    <mergeCell ref="B29:D29"/>
    <mergeCell ref="B18:D18"/>
    <mergeCell ref="B19:D19"/>
    <mergeCell ref="B20:D20"/>
    <mergeCell ref="B21:D21"/>
    <mergeCell ref="B22:D22"/>
    <mergeCell ref="B23:D23"/>
    <mergeCell ref="B24:D24"/>
    <mergeCell ref="B25:D25"/>
    <mergeCell ref="B26:D26"/>
    <mergeCell ref="B27:D27"/>
    <mergeCell ref="B28:D28"/>
    <mergeCell ref="B30:D30"/>
    <mergeCell ref="B31:D31"/>
    <mergeCell ref="B32:D32"/>
    <mergeCell ref="B33:D33"/>
    <mergeCell ref="B34:D34"/>
  </mergeCells>
  <conditionalFormatting sqref="O1">
    <cfRule type="iconSet" priority="1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1:P65513"/>
  <sheetViews>
    <sheetView workbookViewId="0">
      <pane ySplit="2" topLeftCell="A3" activePane="bottomLeft" state="frozen"/>
      <selection pane="bottomLeft" activeCell="A3" sqref="A3:XFD3"/>
    </sheetView>
  </sheetViews>
  <sheetFormatPr defaultRowHeight="15"/>
  <cols>
    <col min="1" max="1" width="13.7109375" style="20" bestFit="1" customWidth="1"/>
    <col min="2" max="2" width="14.140625" style="20" bestFit="1" customWidth="1"/>
    <col min="3" max="3" width="15.140625" style="20" bestFit="1" customWidth="1"/>
    <col min="4" max="4" width="15.5703125" style="20" customWidth="1"/>
    <col min="5" max="5" width="12.28515625" customWidth="1"/>
    <col min="6" max="6" width="17.28515625" customWidth="1"/>
    <col min="7" max="7" width="6.7109375" bestFit="1" customWidth="1"/>
    <col min="8" max="8" width="16.42578125" bestFit="1" customWidth="1"/>
    <col min="9" max="10" width="11.7109375" customWidth="1"/>
    <col min="11" max="11" width="11" customWidth="1"/>
    <col min="12" max="12" width="9.7109375" customWidth="1"/>
    <col min="13" max="13" width="26.42578125" bestFit="1" customWidth="1"/>
    <col min="14" max="14" width="16.7109375" bestFit="1" customWidth="1"/>
    <col min="15" max="15" width="44" bestFit="1" customWidth="1"/>
    <col min="16" max="16" width="13.140625" customWidth="1"/>
  </cols>
  <sheetData>
    <row r="1" spans="1:16" s="9" customFormat="1" ht="51" customHeight="1" thickBot="1">
      <c r="A1" s="6" t="s">
        <v>16</v>
      </c>
      <c r="B1" s="3">
        <f>'Deployment Metrics'!A4</f>
        <v>22</v>
      </c>
      <c r="C1" s="6" t="s">
        <v>49</v>
      </c>
      <c r="D1" s="4">
        <f>'Deployment Metrics'!A5</f>
        <v>22</v>
      </c>
      <c r="E1" s="6" t="s">
        <v>50</v>
      </c>
      <c r="F1" s="4">
        <f>'Deployment Metrics'!A11</f>
        <v>0</v>
      </c>
      <c r="G1" s="147" t="s">
        <v>135</v>
      </c>
      <c r="H1" s="148"/>
      <c r="I1" s="137" t="str">
        <f ca="1">MID(CELL("filename",B1),FIND("]",CELL("filename",B1),1)+1,255)</f>
        <v>Deployment Inspect. Failures</v>
      </c>
      <c r="J1" s="138"/>
      <c r="K1" s="138"/>
      <c r="L1" s="139"/>
      <c r="M1" s="6" t="s">
        <v>53</v>
      </c>
      <c r="N1" s="5">
        <f>'Deployment Metrics'!$A$6</f>
        <v>0</v>
      </c>
      <c r="O1" s="8"/>
      <c r="P1" s="1"/>
    </row>
    <row r="2" spans="1:16" ht="15.75" thickBot="1"/>
    <row r="3" spans="1:16" ht="15.75" thickBot="1">
      <c r="A3" s="133" t="s">
        <v>22</v>
      </c>
      <c r="B3" s="166" t="s">
        <v>78</v>
      </c>
      <c r="C3" s="167"/>
      <c r="D3" s="168"/>
    </row>
    <row r="4" spans="1:16" s="2" customFormat="1">
      <c r="A4" s="32">
        <f>COUNTIF('Deployment Tracking'!$U$3:$V$65307,"*"&amp;B4&amp;",*")</f>
        <v>0</v>
      </c>
      <c r="B4" s="169" t="s">
        <v>24</v>
      </c>
      <c r="C4" s="169"/>
      <c r="D4" s="170"/>
    </row>
    <row r="5" spans="1:16">
      <c r="A5" s="23">
        <f>COUNTIF('Deployment Tracking'!$U$3:$V$65307,"*"&amp;B5&amp;",*")</f>
        <v>0</v>
      </c>
      <c r="B5" s="164" t="s">
        <v>25</v>
      </c>
      <c r="C5" s="164"/>
      <c r="D5" s="165"/>
    </row>
    <row r="6" spans="1:16">
      <c r="A6" s="23">
        <f>COUNTIF('Deployment Tracking'!$U$3:$V$65307,"*"&amp;B6&amp;",*")</f>
        <v>0</v>
      </c>
      <c r="B6" s="164" t="s">
        <v>26</v>
      </c>
      <c r="C6" s="164"/>
      <c r="D6" s="165"/>
    </row>
    <row r="7" spans="1:16">
      <c r="A7" s="23">
        <f>COUNTIF('Deployment Tracking'!$U$3:$V$65307,"*"&amp;B7&amp;",*")</f>
        <v>0</v>
      </c>
      <c r="B7" s="164" t="s">
        <v>27</v>
      </c>
      <c r="C7" s="164"/>
      <c r="D7" s="165"/>
    </row>
    <row r="8" spans="1:16">
      <c r="A8" s="23">
        <f>COUNTIF('Deployment Tracking'!$U$3:$V$65307,"*"&amp;B8&amp;",*")</f>
        <v>0</v>
      </c>
      <c r="B8" s="164" t="s">
        <v>28</v>
      </c>
      <c r="C8" s="164"/>
      <c r="D8" s="165"/>
    </row>
    <row r="9" spans="1:16">
      <c r="A9" s="23">
        <f>COUNTIF('Deployment Tracking'!$U$3:$V$65307,"*"&amp;B9&amp;",*")</f>
        <v>0</v>
      </c>
      <c r="B9" s="164" t="s">
        <v>29</v>
      </c>
      <c r="C9" s="164"/>
      <c r="D9" s="165"/>
    </row>
    <row r="10" spans="1:16">
      <c r="A10" s="23">
        <f>COUNTIF('Deployment Tracking'!$U$3:$V$65307,"*"&amp;B10&amp;",*")</f>
        <v>0</v>
      </c>
      <c r="B10" s="164" t="s">
        <v>30</v>
      </c>
      <c r="C10" s="164"/>
      <c r="D10" s="165"/>
    </row>
    <row r="11" spans="1:16">
      <c r="A11" s="23">
        <f>COUNTIF('Deployment Tracking'!$U$3:$V$65307,"*"&amp;B11&amp;",*")</f>
        <v>0</v>
      </c>
      <c r="B11" s="164" t="s">
        <v>31</v>
      </c>
      <c r="C11" s="164"/>
      <c r="D11" s="165"/>
    </row>
    <row r="12" spans="1:16">
      <c r="A12" s="23">
        <f>COUNTIF('Deployment Tracking'!$U$3:$V$65307,"*"&amp;B12&amp;",*")</f>
        <v>0</v>
      </c>
      <c r="B12" s="164" t="s">
        <v>32</v>
      </c>
      <c r="C12" s="164"/>
      <c r="D12" s="165"/>
    </row>
    <row r="13" spans="1:16">
      <c r="A13" s="23">
        <f>COUNTIF('Deployment Tracking'!$U$3:$V$65307,"*"&amp;B13&amp;",*")</f>
        <v>0</v>
      </c>
      <c r="B13" s="164" t="s">
        <v>33</v>
      </c>
      <c r="C13" s="164"/>
      <c r="D13" s="165"/>
    </row>
    <row r="14" spans="1:16">
      <c r="A14" s="23">
        <f>COUNTIF('Deployment Tracking'!$U$3:$V$65307,"*"&amp;B14&amp;",*")</f>
        <v>0</v>
      </c>
      <c r="B14" s="164" t="s">
        <v>45</v>
      </c>
      <c r="C14" s="164"/>
      <c r="D14" s="165"/>
    </row>
    <row r="15" spans="1:16">
      <c r="A15" s="23">
        <f>COUNTIF('Deployment Tracking'!$U$3:$V$65307,"*"&amp;B15&amp;",*")</f>
        <v>0</v>
      </c>
      <c r="B15" s="164" t="s">
        <v>34</v>
      </c>
      <c r="C15" s="164"/>
      <c r="D15" s="165"/>
    </row>
    <row r="16" spans="1:16">
      <c r="A16" s="23">
        <f>COUNTIF('Deployment Tracking'!$U$3:$V$65307,"*"&amp;B16&amp;",*")</f>
        <v>0</v>
      </c>
      <c r="B16" s="164" t="s">
        <v>35</v>
      </c>
      <c r="C16" s="164"/>
      <c r="D16" s="165"/>
    </row>
    <row r="17" spans="1:4">
      <c r="A17" s="23">
        <f>COUNTIF('Deployment Tracking'!$U$3:$V$65307,"*"&amp;B17&amp;",*")</f>
        <v>0</v>
      </c>
      <c r="B17" s="164" t="s">
        <v>36</v>
      </c>
      <c r="C17" s="164"/>
      <c r="D17" s="165"/>
    </row>
    <row r="18" spans="1:4">
      <c r="A18" s="23">
        <f>COUNTIF('Deployment Tracking'!$U$3:$V$65307,"*"&amp;B18&amp;",*")</f>
        <v>0</v>
      </c>
      <c r="B18" s="164" t="s">
        <v>37</v>
      </c>
      <c r="C18" s="164"/>
      <c r="D18" s="165"/>
    </row>
    <row r="19" spans="1:4">
      <c r="A19" s="23">
        <f>COUNTIF('Deployment Tracking'!$U$3:$V$65307,"*"&amp;B19&amp;",*")</f>
        <v>0</v>
      </c>
      <c r="B19" s="164" t="s">
        <v>38</v>
      </c>
      <c r="C19" s="164"/>
      <c r="D19" s="165"/>
    </row>
    <row r="20" spans="1:4">
      <c r="A20" s="23">
        <f>COUNTIF('Deployment Tracking'!$U$3:$V$65307,"*"&amp;B20&amp;",*")</f>
        <v>0</v>
      </c>
      <c r="B20" s="164" t="s">
        <v>39</v>
      </c>
      <c r="C20" s="164"/>
      <c r="D20" s="165"/>
    </row>
    <row r="21" spans="1:4">
      <c r="A21" s="23">
        <f>COUNTIF('Deployment Tracking'!$U$3:$V$65307,"*"&amp;B21&amp;",*")</f>
        <v>0</v>
      </c>
      <c r="B21" s="164" t="s">
        <v>40</v>
      </c>
      <c r="C21" s="164"/>
      <c r="D21" s="165"/>
    </row>
    <row r="22" spans="1:4">
      <c r="A22" s="23">
        <f>COUNTIF('Deployment Tracking'!$U$3:$V$65307,"*"&amp;B22&amp;",*")</f>
        <v>0</v>
      </c>
      <c r="B22" s="164" t="s">
        <v>41</v>
      </c>
      <c r="C22" s="164"/>
      <c r="D22" s="165"/>
    </row>
    <row r="23" spans="1:4">
      <c r="A23" s="23">
        <f>COUNTIF('Deployment Tracking'!$U$3:$V$65307,"*"&amp;B23&amp;",*")</f>
        <v>0</v>
      </c>
      <c r="B23" s="164" t="s">
        <v>42</v>
      </c>
      <c r="C23" s="164"/>
      <c r="D23" s="165"/>
    </row>
    <row r="24" spans="1:4">
      <c r="A24" s="23">
        <f>COUNTIF('Deployment Tracking'!$U$3:$V$65307,"*"&amp;B24&amp;",*")</f>
        <v>0</v>
      </c>
      <c r="B24" s="164" t="s">
        <v>43</v>
      </c>
      <c r="C24" s="164"/>
      <c r="D24" s="165"/>
    </row>
    <row r="25" spans="1:4">
      <c r="A25" s="23">
        <f>COUNTIF('Deployment Tracking'!$U$3:$V$65307,"*"&amp;B25&amp;",*")</f>
        <v>0</v>
      </c>
      <c r="B25" s="164" t="s">
        <v>44</v>
      </c>
      <c r="C25" s="164"/>
      <c r="D25" s="165"/>
    </row>
    <row r="26" spans="1:4">
      <c r="A26" s="23">
        <f>COUNTIF('Deployment Tracking'!$U$3:$V$65307,"*"&amp;B26&amp;",*")</f>
        <v>0</v>
      </c>
      <c r="B26" s="164" t="s">
        <v>185</v>
      </c>
      <c r="C26" s="164"/>
      <c r="D26" s="165"/>
    </row>
    <row r="27" spans="1:4">
      <c r="A27" s="23">
        <f>COUNTIF('Deployment Tracking'!$U$3:$V$65307,"*"&amp;B27&amp;",*")</f>
        <v>0</v>
      </c>
      <c r="B27" s="180" t="s">
        <v>79</v>
      </c>
      <c r="C27" s="180"/>
      <c r="D27" s="181"/>
    </row>
    <row r="28" spans="1:4" ht="15.75" thickBot="1">
      <c r="A28" s="27">
        <f>COUNTIF('Deployment Tracking'!$U$3:$V$65307,"*"&amp;B28&amp;",*")</f>
        <v>0</v>
      </c>
      <c r="B28" s="178" t="s">
        <v>80</v>
      </c>
      <c r="C28" s="178"/>
      <c r="D28" s="179"/>
    </row>
    <row r="65510" spans="1:1">
      <c r="A65510" s="29"/>
    </row>
    <row r="65513" spans="1:1">
      <c r="A65513" s="30"/>
    </row>
  </sheetData>
  <sheetProtection sheet="1" objects="1" scenarios="1"/>
  <mergeCells count="28">
    <mergeCell ref="B25:D25"/>
    <mergeCell ref="B26:D26"/>
    <mergeCell ref="B27:D27"/>
    <mergeCell ref="B28:D28"/>
    <mergeCell ref="B19:D19"/>
    <mergeCell ref="B20:D20"/>
    <mergeCell ref="B21:D21"/>
    <mergeCell ref="B22:D22"/>
    <mergeCell ref="B23:D23"/>
    <mergeCell ref="B24:D24"/>
    <mergeCell ref="B18:D18"/>
    <mergeCell ref="B7:D7"/>
    <mergeCell ref="B8:D8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6:D6"/>
    <mergeCell ref="G1:H1"/>
    <mergeCell ref="I1:L1"/>
    <mergeCell ref="B3:D3"/>
    <mergeCell ref="B4:D4"/>
    <mergeCell ref="B5:D5"/>
  </mergeCells>
  <conditionalFormatting sqref="N1">
    <cfRule type="iconSet" priority="2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N1">
    <cfRule type="iconSet" priority="1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P65516"/>
  <sheetViews>
    <sheetView workbookViewId="0">
      <pane ySplit="2" topLeftCell="A3" activePane="bottomLeft" state="frozen"/>
      <selection pane="bottomLeft" activeCell="A3" sqref="A3:XFD3"/>
    </sheetView>
  </sheetViews>
  <sheetFormatPr defaultRowHeight="15"/>
  <cols>
    <col min="1" max="1" width="13.7109375" style="20" bestFit="1" customWidth="1"/>
    <col min="2" max="2" width="14.140625" style="20" bestFit="1" customWidth="1"/>
    <col min="3" max="3" width="15.140625" style="20" bestFit="1" customWidth="1"/>
    <col min="4" max="4" width="15.5703125" style="20" customWidth="1"/>
    <col min="5" max="5" width="12.28515625" customWidth="1"/>
    <col min="6" max="6" width="17.28515625" customWidth="1"/>
    <col min="7" max="7" width="6.7109375" bestFit="1" customWidth="1"/>
    <col min="8" max="8" width="16.42578125" bestFit="1" customWidth="1"/>
    <col min="9" max="10" width="11.7109375" customWidth="1"/>
    <col min="11" max="11" width="11" customWidth="1"/>
    <col min="12" max="12" width="9.7109375" customWidth="1"/>
    <col min="13" max="13" width="26.42578125" bestFit="1" customWidth="1"/>
    <col min="14" max="14" width="16.7109375" bestFit="1" customWidth="1"/>
    <col min="15" max="15" width="44" bestFit="1" customWidth="1"/>
    <col min="16" max="16" width="13.140625" customWidth="1"/>
  </cols>
  <sheetData>
    <row r="1" spans="1:16" s="9" customFormat="1" ht="51" customHeight="1" thickBot="1">
      <c r="A1" s="6" t="s">
        <v>16</v>
      </c>
      <c r="B1" s="3">
        <f>'Deployment Metrics'!A4</f>
        <v>22</v>
      </c>
      <c r="C1" s="6" t="s">
        <v>49</v>
      </c>
      <c r="D1" s="4">
        <f>'Deployment Metrics'!A5</f>
        <v>22</v>
      </c>
      <c r="E1" s="6" t="s">
        <v>50</v>
      </c>
      <c r="F1" s="4">
        <f>'Deployment Metrics'!A11</f>
        <v>0</v>
      </c>
      <c r="G1" s="147" t="s">
        <v>135</v>
      </c>
      <c r="H1" s="148"/>
      <c r="I1" s="137" t="str">
        <f ca="1">MID(CELL("filename",B1),FIND("]",CELL("filename",B1),1)+1,255)</f>
        <v>Deploy. Chan. Test Failures</v>
      </c>
      <c r="J1" s="138"/>
      <c r="K1" s="138"/>
      <c r="L1" s="139"/>
      <c r="M1" s="6" t="s">
        <v>53</v>
      </c>
      <c r="N1" s="5">
        <f>'Deployment Metrics'!$A$6</f>
        <v>0</v>
      </c>
      <c r="O1" s="8"/>
      <c r="P1" s="1"/>
    </row>
    <row r="2" spans="1:16" ht="15.75" thickBot="1"/>
    <row r="3" spans="1:16" ht="15.75" thickBot="1">
      <c r="A3" s="133" t="s">
        <v>22</v>
      </c>
      <c r="B3" s="166" t="s">
        <v>81</v>
      </c>
      <c r="C3" s="167"/>
      <c r="D3" s="168"/>
    </row>
    <row r="4" spans="1:16" s="2" customFormat="1">
      <c r="A4" s="32">
        <f>COUNTIF('Deployment Tracking'!$U$3:$V$65308,"*"&amp;B4&amp;",*")</f>
        <v>0</v>
      </c>
      <c r="B4" s="169" t="s">
        <v>82</v>
      </c>
      <c r="C4" s="169" t="s">
        <v>82</v>
      </c>
      <c r="D4" s="170" t="s">
        <v>82</v>
      </c>
    </row>
    <row r="5" spans="1:16">
      <c r="A5" s="23">
        <f>COUNTIF('Deployment Tracking'!$U$3:$V$65308,"*"&amp;B5&amp;",*")</f>
        <v>0</v>
      </c>
      <c r="B5" s="164" t="s">
        <v>83</v>
      </c>
      <c r="C5" s="164" t="s">
        <v>83</v>
      </c>
      <c r="D5" s="165" t="s">
        <v>83</v>
      </c>
    </row>
    <row r="6" spans="1:16">
      <c r="A6" s="23">
        <f>COUNTIF('Deployment Tracking'!$U$3:$V$65308,"*"&amp;B6&amp;",*")</f>
        <v>0</v>
      </c>
      <c r="B6" s="164" t="s">
        <v>84</v>
      </c>
      <c r="C6" s="164" t="s">
        <v>84</v>
      </c>
      <c r="D6" s="165" t="s">
        <v>84</v>
      </c>
    </row>
    <row r="7" spans="1:16">
      <c r="A7" s="23">
        <f>COUNTIF('Deployment Tracking'!$U$3:$V$65308,"*"&amp;B7&amp;",*")</f>
        <v>0</v>
      </c>
      <c r="B7" s="164" t="s">
        <v>85</v>
      </c>
      <c r="C7" s="164" t="s">
        <v>85</v>
      </c>
      <c r="D7" s="165" t="s">
        <v>85</v>
      </c>
    </row>
    <row r="8" spans="1:16">
      <c r="A8" s="23">
        <f>COUNTIF('Deployment Tracking'!$U$3:$V$65308,"*"&amp;B8&amp;",*")</f>
        <v>0</v>
      </c>
      <c r="B8" s="164" t="s">
        <v>86</v>
      </c>
      <c r="C8" s="164" t="s">
        <v>86</v>
      </c>
      <c r="D8" s="165" t="s">
        <v>86</v>
      </c>
    </row>
    <row r="9" spans="1:16">
      <c r="A9" s="23">
        <f>COUNTIF('Deployment Tracking'!$U$3:$V$65308,"*"&amp;B9&amp;",*")</f>
        <v>0</v>
      </c>
      <c r="B9" s="164" t="s">
        <v>87</v>
      </c>
      <c r="C9" s="164" t="s">
        <v>87</v>
      </c>
      <c r="D9" s="165" t="s">
        <v>87</v>
      </c>
    </row>
    <row r="10" spans="1:16">
      <c r="A10" s="23">
        <f>COUNTIF('Deployment Tracking'!$U$3:$V$65308,"*"&amp;B10&amp;",*")</f>
        <v>0</v>
      </c>
      <c r="B10" s="164" t="s">
        <v>88</v>
      </c>
      <c r="C10" s="164" t="s">
        <v>88</v>
      </c>
      <c r="D10" s="165" t="s">
        <v>88</v>
      </c>
    </row>
    <row r="11" spans="1:16">
      <c r="A11" s="23">
        <f>COUNTIF('Deployment Tracking'!$U$3:$V$65308,"*"&amp;B11&amp;",*")</f>
        <v>0</v>
      </c>
      <c r="B11" s="164" t="s">
        <v>89</v>
      </c>
      <c r="C11" s="164" t="s">
        <v>89</v>
      </c>
      <c r="D11" s="165" t="s">
        <v>89</v>
      </c>
    </row>
    <row r="12" spans="1:16">
      <c r="A12" s="23">
        <f>COUNTIF('Deployment Tracking'!$U$3:$V$65308,"*"&amp;B12&amp;",*")</f>
        <v>0</v>
      </c>
      <c r="B12" s="185" t="s">
        <v>182</v>
      </c>
      <c r="C12" s="185" t="s">
        <v>89</v>
      </c>
      <c r="D12" s="186" t="s">
        <v>89</v>
      </c>
    </row>
    <row r="13" spans="1:16">
      <c r="A13" s="23">
        <f>COUNTIF('Deployment Tracking'!$U$3:$V$65308,"*"&amp;B13&amp;",*")</f>
        <v>0</v>
      </c>
      <c r="B13" s="185" t="s">
        <v>183</v>
      </c>
      <c r="C13" s="185"/>
      <c r="D13" s="186"/>
    </row>
    <row r="14" spans="1:16">
      <c r="A14" s="23">
        <f>COUNTIF('Deployment Tracking'!$U$3:$V$65308,"*"&amp;B14&amp;",*")</f>
        <v>0</v>
      </c>
      <c r="B14" s="185" t="s">
        <v>184</v>
      </c>
      <c r="C14" s="185"/>
      <c r="D14" s="186"/>
    </row>
    <row r="15" spans="1:16">
      <c r="A15" s="23">
        <f>COUNTIF('Deployment Tracking'!$U$3:$V$65308,"*"&amp;B15&amp;",*")</f>
        <v>0</v>
      </c>
      <c r="B15" s="185" t="s">
        <v>186</v>
      </c>
      <c r="C15" s="185"/>
      <c r="D15" s="186"/>
    </row>
    <row r="16" spans="1:16">
      <c r="A16" s="23">
        <f>COUNTIF('Deployment Tracking'!$U$3:$V$65308,"*"&amp;B16&amp;",*")</f>
        <v>0</v>
      </c>
      <c r="B16" s="164" t="s">
        <v>90</v>
      </c>
      <c r="C16" s="164" t="s">
        <v>90</v>
      </c>
      <c r="D16" s="165" t="s">
        <v>90</v>
      </c>
    </row>
    <row r="17" spans="1:4">
      <c r="A17" s="23">
        <f>COUNTIF('Deployment Tracking'!$U$3:$V$65308,"*"&amp;B17&amp;",*")</f>
        <v>0</v>
      </c>
      <c r="B17" s="164" t="s">
        <v>91</v>
      </c>
      <c r="C17" s="164" t="s">
        <v>91</v>
      </c>
      <c r="D17" s="165" t="s">
        <v>91</v>
      </c>
    </row>
    <row r="18" spans="1:4">
      <c r="A18" s="23">
        <f>COUNTIF('Deployment Tracking'!$U$3:$V$65308,"*"&amp;B18&amp;",*")</f>
        <v>0</v>
      </c>
      <c r="B18" s="164" t="s">
        <v>92</v>
      </c>
      <c r="C18" s="164" t="s">
        <v>92</v>
      </c>
      <c r="D18" s="165" t="s">
        <v>92</v>
      </c>
    </row>
    <row r="19" spans="1:4">
      <c r="A19" s="23">
        <f>COUNTIF('Deployment Tracking'!$U$3:$V$65308,"*"&amp;B19&amp;",*")</f>
        <v>0</v>
      </c>
      <c r="B19" s="164" t="s">
        <v>93</v>
      </c>
      <c r="C19" s="164" t="s">
        <v>93</v>
      </c>
      <c r="D19" s="165" t="s">
        <v>93</v>
      </c>
    </row>
    <row r="20" spans="1:4">
      <c r="A20" s="23">
        <f>COUNTIF('Deployment Tracking'!$U$3:$V$65308,"*"&amp;B20&amp;",*")</f>
        <v>0</v>
      </c>
      <c r="B20" s="164" t="s">
        <v>94</v>
      </c>
      <c r="C20" s="164" t="s">
        <v>94</v>
      </c>
      <c r="D20" s="165" t="s">
        <v>94</v>
      </c>
    </row>
    <row r="21" spans="1:4">
      <c r="A21" s="23">
        <f>COUNTIF('Deployment Tracking'!$U$3:$V$65308,"*"&amp;B21&amp;",*")</f>
        <v>0</v>
      </c>
      <c r="B21" s="164" t="s">
        <v>95</v>
      </c>
      <c r="C21" s="164" t="s">
        <v>95</v>
      </c>
      <c r="D21" s="165" t="s">
        <v>95</v>
      </c>
    </row>
    <row r="22" spans="1:4">
      <c r="A22" s="23">
        <f>COUNTIF('Deployment Tracking'!$U$3:$V$65308,"*"&amp;B22&amp;",*")</f>
        <v>0</v>
      </c>
      <c r="B22" s="164" t="s">
        <v>96</v>
      </c>
      <c r="C22" s="164" t="s">
        <v>96</v>
      </c>
      <c r="D22" s="165" t="s">
        <v>96</v>
      </c>
    </row>
    <row r="23" spans="1:4">
      <c r="A23" s="23">
        <f>COUNTIF('Deployment Tracking'!$U$3:$V$65308,"*"&amp;B23&amp;",*")</f>
        <v>0</v>
      </c>
      <c r="B23" s="164" t="s">
        <v>97</v>
      </c>
      <c r="C23" s="164" t="s">
        <v>97</v>
      </c>
      <c r="D23" s="165" t="s">
        <v>97</v>
      </c>
    </row>
    <row r="24" spans="1:4">
      <c r="A24" s="23">
        <f>COUNTIF('Deployment Tracking'!$U$3:$V$65308,"*"&amp;B24&amp;",*")</f>
        <v>0</v>
      </c>
      <c r="B24" s="164" t="s">
        <v>98</v>
      </c>
      <c r="C24" s="164" t="s">
        <v>98</v>
      </c>
      <c r="D24" s="165" t="s">
        <v>98</v>
      </c>
    </row>
    <row r="25" spans="1:4">
      <c r="A25" s="23">
        <f>COUNTIF('Deployment Tracking'!$U$3:$V$65308,"*"&amp;B25&amp;",*")</f>
        <v>0</v>
      </c>
      <c r="B25" s="164" t="s">
        <v>99</v>
      </c>
      <c r="C25" s="164" t="s">
        <v>99</v>
      </c>
      <c r="D25" s="165" t="s">
        <v>99</v>
      </c>
    </row>
    <row r="26" spans="1:4">
      <c r="A26" s="23">
        <f>COUNTIF('Deployment Tracking'!$U$3:$V$65308,"*"&amp;B26&amp;",*")</f>
        <v>0</v>
      </c>
      <c r="B26" s="164" t="s">
        <v>100</v>
      </c>
      <c r="C26" s="164" t="s">
        <v>100</v>
      </c>
      <c r="D26" s="165" t="s">
        <v>100</v>
      </c>
    </row>
    <row r="27" spans="1:4">
      <c r="A27" s="23">
        <f>COUNTIF('Deployment Tracking'!$U$3:$V$65308,"*"&amp;B27&amp;",*")</f>
        <v>0</v>
      </c>
      <c r="B27" s="164" t="s">
        <v>101</v>
      </c>
      <c r="C27" s="164" t="s">
        <v>101</v>
      </c>
      <c r="D27" s="165" t="s">
        <v>101</v>
      </c>
    </row>
    <row r="28" spans="1:4">
      <c r="A28" s="23">
        <f>COUNTIF('Deployment Tracking'!$U$3:$V$65308,"*"&amp;B28&amp;",*")</f>
        <v>0</v>
      </c>
      <c r="B28" s="164" t="s">
        <v>102</v>
      </c>
      <c r="C28" s="164" t="s">
        <v>102</v>
      </c>
      <c r="D28" s="165" t="s">
        <v>102</v>
      </c>
    </row>
    <row r="29" spans="1:4">
      <c r="A29" s="23">
        <f>COUNTIF('Deployment Tracking'!$U$3:$V$65308,"*"&amp;B29&amp;",*")</f>
        <v>0</v>
      </c>
      <c r="B29" s="164" t="s">
        <v>103</v>
      </c>
      <c r="C29" s="164" t="s">
        <v>103</v>
      </c>
      <c r="D29" s="165" t="s">
        <v>103</v>
      </c>
    </row>
    <row r="30" spans="1:4">
      <c r="A30" s="23">
        <f>COUNTIF('Deployment Tracking'!$U$3:$V$65308,"*"&amp;B30&amp;",*")</f>
        <v>0</v>
      </c>
      <c r="B30" s="164" t="s">
        <v>104</v>
      </c>
      <c r="C30" s="164" t="s">
        <v>104</v>
      </c>
      <c r="D30" s="165" t="s">
        <v>104</v>
      </c>
    </row>
    <row r="31" spans="1:4">
      <c r="A31" s="23">
        <f>COUNTIF('Deployment Tracking'!$U$3:$V$65308,"*"&amp;B31&amp;",*")</f>
        <v>0</v>
      </c>
      <c r="B31" s="180" t="s">
        <v>105</v>
      </c>
      <c r="C31" s="180" t="s">
        <v>105</v>
      </c>
      <c r="D31" s="181" t="s">
        <v>105</v>
      </c>
    </row>
    <row r="32" spans="1:4">
      <c r="A32" s="23">
        <f>COUNTIF('Deployment Tracking'!$U$3:$V$65308,"*"&amp;B32&amp;",*")</f>
        <v>0</v>
      </c>
      <c r="B32" s="180" t="s">
        <v>106</v>
      </c>
      <c r="C32" s="180"/>
      <c r="D32" s="181"/>
    </row>
    <row r="33" spans="1:4">
      <c r="A33" s="23">
        <f>COUNTIF('Deployment Tracking'!$U$3:$V$65308,"*"&amp;B33&amp;",*")</f>
        <v>0</v>
      </c>
      <c r="B33" s="180" t="s">
        <v>107</v>
      </c>
      <c r="C33" s="180"/>
      <c r="D33" s="181"/>
    </row>
    <row r="34" spans="1:4">
      <c r="A34" s="23">
        <f>COUNTIF('Deployment Tracking'!$U$3:$V$65308,"*"&amp;B34&amp;",*")</f>
        <v>0</v>
      </c>
      <c r="B34" s="180" t="s">
        <v>108</v>
      </c>
      <c r="C34" s="180"/>
      <c r="D34" s="181"/>
    </row>
    <row r="35" spans="1:4">
      <c r="A35" s="23">
        <f>COUNTIF('Deployment Tracking'!$U$3:$V$65308,"*"&amp;B35&amp;",*")</f>
        <v>0</v>
      </c>
      <c r="B35" s="180" t="s">
        <v>109</v>
      </c>
      <c r="C35" s="180"/>
      <c r="D35" s="181"/>
    </row>
    <row r="36" spans="1:4">
      <c r="A36" s="23">
        <f>COUNTIF('Deployment Tracking'!$U$3:$V$65308,"*"&amp;B36&amp;",*")</f>
        <v>0</v>
      </c>
      <c r="B36" s="180" t="s">
        <v>110</v>
      </c>
      <c r="C36" s="180"/>
      <c r="D36" s="181"/>
    </row>
    <row r="37" spans="1:4">
      <c r="A37" s="23">
        <f>COUNTIF('Deployment Tracking'!$U$3:$V$65308,"*"&amp;B37&amp;",*")</f>
        <v>0</v>
      </c>
      <c r="B37" s="180" t="s">
        <v>111</v>
      </c>
      <c r="C37" s="180"/>
      <c r="D37" s="181"/>
    </row>
    <row r="38" spans="1:4">
      <c r="A38" s="23">
        <f>COUNTIF('Deployment Tracking'!$U$3:$V$65308,"*"&amp;B38&amp;",*")</f>
        <v>0</v>
      </c>
      <c r="B38" s="180" t="s">
        <v>112</v>
      </c>
      <c r="C38" s="180"/>
      <c r="D38" s="181"/>
    </row>
    <row r="39" spans="1:4">
      <c r="A39" s="23">
        <f>COUNTIF('Deployment Tracking'!$U$3:$V$65308,"*"&amp;B39&amp;",*")</f>
        <v>0</v>
      </c>
      <c r="B39" s="180" t="s">
        <v>113</v>
      </c>
      <c r="C39" s="180"/>
      <c r="D39" s="181"/>
    </row>
    <row r="40" spans="1:4">
      <c r="A40" s="23">
        <f>COUNTIF('Deployment Tracking'!$U$3:$V$65308,"*"&amp;B40&amp;",*")</f>
        <v>0</v>
      </c>
      <c r="B40" s="180" t="s">
        <v>114</v>
      </c>
      <c r="C40" s="180"/>
      <c r="D40" s="181"/>
    </row>
    <row r="41" spans="1:4">
      <c r="A41" s="23">
        <f>COUNTIF('Deployment Tracking'!$U$3:$V$65308,"*"&amp;B41&amp;",*")</f>
        <v>0</v>
      </c>
      <c r="B41" s="180" t="s">
        <v>115</v>
      </c>
      <c r="C41" s="180"/>
      <c r="D41" s="181"/>
    </row>
    <row r="42" spans="1:4">
      <c r="A42" s="23">
        <f>COUNTIF('Deployment Tracking'!$U$3:$V$65308,"*"&amp;B42&amp;",*")</f>
        <v>0</v>
      </c>
      <c r="B42" s="180" t="s">
        <v>116</v>
      </c>
      <c r="C42" s="180"/>
      <c r="D42" s="181"/>
    </row>
    <row r="43" spans="1:4">
      <c r="A43" s="23">
        <f>COUNTIF('Deployment Tracking'!$U$3:$V$65308,"*"&amp;B43&amp;",*")</f>
        <v>0</v>
      </c>
      <c r="B43" s="180" t="s">
        <v>117</v>
      </c>
      <c r="C43" s="180"/>
      <c r="D43" s="181"/>
    </row>
    <row r="44" spans="1:4">
      <c r="A44" s="23">
        <f>COUNTIF('Deployment Tracking'!$U$3:$V$65308,"*"&amp;B44&amp;",*")</f>
        <v>0</v>
      </c>
      <c r="B44" s="180" t="s">
        <v>118</v>
      </c>
      <c r="C44" s="180"/>
      <c r="D44" s="181"/>
    </row>
    <row r="45" spans="1:4">
      <c r="A45" s="23">
        <f>COUNTIF('Deployment Tracking'!$U$3:$V$65308,"*"&amp;B45&amp;",*")</f>
        <v>0</v>
      </c>
      <c r="B45" s="180" t="s">
        <v>119</v>
      </c>
      <c r="C45" s="180"/>
      <c r="D45" s="181"/>
    </row>
    <row r="46" spans="1:4">
      <c r="A46" s="23">
        <f>COUNTIF('Deployment Tracking'!$U$3:$V$65308,"*"&amp;B46&amp;",*")</f>
        <v>0</v>
      </c>
      <c r="B46" s="180" t="s">
        <v>120</v>
      </c>
      <c r="C46" s="180"/>
      <c r="D46" s="181"/>
    </row>
    <row r="47" spans="1:4">
      <c r="A47" s="23">
        <f>COUNTIF('Deployment Tracking'!$U$3:$V$65308,"*"&amp;B47&amp;",*")</f>
        <v>0</v>
      </c>
      <c r="B47" s="180" t="s">
        <v>121</v>
      </c>
      <c r="C47" s="180"/>
      <c r="D47" s="181"/>
    </row>
    <row r="48" spans="1:4">
      <c r="A48" s="23">
        <f>COUNTIF('Deployment Tracking'!$U$3:$V$65308,"*"&amp;B48&amp;",*")</f>
        <v>0</v>
      </c>
      <c r="B48" s="180" t="s">
        <v>122</v>
      </c>
      <c r="C48" s="180"/>
      <c r="D48" s="181"/>
    </row>
    <row r="49" spans="1:4">
      <c r="A49" s="23">
        <f>COUNTIF('Deployment Tracking'!$U$3:$V$65308,"*"&amp;B49&amp;",*")</f>
        <v>0</v>
      </c>
      <c r="B49" s="180" t="s">
        <v>123</v>
      </c>
      <c r="C49" s="180"/>
      <c r="D49" s="181"/>
    </row>
    <row r="50" spans="1:4" ht="15.75" thickBot="1">
      <c r="A50" s="27">
        <f>COUNTIF('Deployment Tracking'!$U$3:$V$65308,"*"&amp;B50&amp;",*")</f>
        <v>0</v>
      </c>
      <c r="B50" s="178" t="s">
        <v>124</v>
      </c>
      <c r="C50" s="178"/>
      <c r="D50" s="179"/>
    </row>
    <row r="65513" spans="1:1">
      <c r="A65513" s="29"/>
    </row>
    <row r="65516" spans="1:1">
      <c r="A65516" s="30"/>
    </row>
  </sheetData>
  <sheetProtection sheet="1" objects="1" scenarios="1"/>
  <mergeCells count="50">
    <mergeCell ref="B49:D49"/>
    <mergeCell ref="B50:D50"/>
    <mergeCell ref="B43:D43"/>
    <mergeCell ref="B44:D44"/>
    <mergeCell ref="B45:D45"/>
    <mergeCell ref="B46:D46"/>
    <mergeCell ref="B47:D47"/>
    <mergeCell ref="B48:D48"/>
    <mergeCell ref="B42:D42"/>
    <mergeCell ref="B31:D31"/>
    <mergeCell ref="B32:D32"/>
    <mergeCell ref="B33:D33"/>
    <mergeCell ref="B34:D34"/>
    <mergeCell ref="B35:D35"/>
    <mergeCell ref="B36:D36"/>
    <mergeCell ref="B37:D37"/>
    <mergeCell ref="B38:D38"/>
    <mergeCell ref="B39:D39"/>
    <mergeCell ref="B40:D40"/>
    <mergeCell ref="B41:D41"/>
    <mergeCell ref="B30:D30"/>
    <mergeCell ref="B19:D19"/>
    <mergeCell ref="B20:D20"/>
    <mergeCell ref="B21:D21"/>
    <mergeCell ref="B22:D22"/>
    <mergeCell ref="B23:D23"/>
    <mergeCell ref="B24:D24"/>
    <mergeCell ref="B25:D25"/>
    <mergeCell ref="B26:D26"/>
    <mergeCell ref="B27:D27"/>
    <mergeCell ref="B28:D28"/>
    <mergeCell ref="B29:D29"/>
    <mergeCell ref="B18:D18"/>
    <mergeCell ref="B7:D7"/>
    <mergeCell ref="B8:D8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6:D6"/>
    <mergeCell ref="G1:H1"/>
    <mergeCell ref="I1:L1"/>
    <mergeCell ref="B3:D3"/>
    <mergeCell ref="B4:D4"/>
    <mergeCell ref="B5:D5"/>
  </mergeCells>
  <conditionalFormatting sqref="N1">
    <cfRule type="iconSet" priority="2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N1">
    <cfRule type="iconSet" priority="1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B2"/>
  <sheetViews>
    <sheetView workbookViewId="0">
      <selection activeCell="B12" sqref="B12"/>
    </sheetView>
  </sheetViews>
  <sheetFormatPr defaultRowHeight="15"/>
  <cols>
    <col min="1" max="1" width="10.7109375" bestFit="1" customWidth="1"/>
  </cols>
  <sheetData>
    <row r="1" spans="1:2">
      <c r="A1" t="s">
        <v>1917</v>
      </c>
      <c r="B1" t="s">
        <v>1915</v>
      </c>
    </row>
    <row r="2" spans="1:2">
      <c r="A2" t="s">
        <v>1918</v>
      </c>
      <c r="B2" t="s">
        <v>1916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3</vt:i4>
      </vt:variant>
    </vt:vector>
  </HeadingPairs>
  <TitlesOfParts>
    <vt:vector size="25" baseType="lpstr">
      <vt:lpstr>Main</vt:lpstr>
      <vt:lpstr>Vehicle Inspection</vt:lpstr>
      <vt:lpstr>Vehicle Metrics</vt:lpstr>
      <vt:lpstr>Tracking</vt:lpstr>
      <vt:lpstr>Metrics</vt:lpstr>
      <vt:lpstr>Inspection Failures</vt:lpstr>
      <vt:lpstr>Channel Test Mode Failures</vt:lpstr>
      <vt:lpstr>NGTS Total Metrics</vt:lpstr>
      <vt:lpstr>5100X NGTS Metrics</vt:lpstr>
      <vt:lpstr>5100ES NGTS Metrics</vt:lpstr>
      <vt:lpstr>51Ascend NGTS Metrics</vt:lpstr>
      <vt:lpstr>Viking Portable NGTS Metrics</vt:lpstr>
      <vt:lpstr>5300X NGTS Metrics</vt:lpstr>
      <vt:lpstr>5300ES NGTS Metrics</vt:lpstr>
      <vt:lpstr>53Ascend NGTS Metrics</vt:lpstr>
      <vt:lpstr>Viking Mobile NGTS Metrics</vt:lpstr>
      <vt:lpstr>Completion Report</vt:lpstr>
      <vt:lpstr>Deployment Tracking</vt:lpstr>
      <vt:lpstr>Deployment Metrics</vt:lpstr>
      <vt:lpstr>Deployment Inspect. Failures</vt:lpstr>
      <vt:lpstr>Deploy. Chan. Test Failures</vt:lpstr>
      <vt:lpstr>User Admin</vt:lpstr>
      <vt:lpstr>ListFillRange</vt:lpstr>
      <vt:lpstr>Tracking!Print_Area</vt:lpstr>
      <vt:lpstr>'Vehicle Inspection'!Print_Area</vt:lpstr>
    </vt:vector>
  </TitlesOfParts>
  <Company>Motorola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jcnp84</dc:creator>
  <cp:lastModifiedBy>jcnp84</cp:lastModifiedBy>
  <cp:lastPrinted>2014-03-23T20:56:57Z</cp:lastPrinted>
  <dcterms:created xsi:type="dcterms:W3CDTF">2013-09-12T16:47:05Z</dcterms:created>
  <dcterms:modified xsi:type="dcterms:W3CDTF">2015-01-26T16:21:54Z</dcterms:modified>
</cp:coreProperties>
</file>