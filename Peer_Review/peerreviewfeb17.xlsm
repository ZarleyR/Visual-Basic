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0" yWindow="0" windowWidth="24240" windowHeight="12435" tabRatio="832" activeTab="11"/>
  </bookViews>
  <sheets>
    <sheet name="Main" sheetId="2" r:id="rId1"/>
    <sheet name="Christine Withers" sheetId="3" state="hidden" r:id="rId2"/>
    <sheet name="Connie Tillman" sheetId="5" state="hidden" r:id="rId3"/>
    <sheet name="CPT Jordan" sheetId="6" state="hidden" r:id="rId4"/>
    <sheet name="CPT Setu Mala" sheetId="7" state="hidden" r:id="rId5"/>
    <sheet name="CPT Varner" sheetId="11" state="hidden" r:id="rId6"/>
    <sheet name="Cynthia Smith" sheetId="10" state="hidden" r:id="rId7"/>
    <sheet name="MAJ Vogt" sheetId="9" state="hidden" r:id="rId8"/>
    <sheet name="Melinda Baggs" sheetId="8" state="hidden" r:id="rId9"/>
    <sheet name="Melisa Lyle" sheetId="12" state="hidden" r:id="rId10"/>
    <sheet name="Taquisha Edwards" sheetId="13" state="hidden" r:id="rId11"/>
    <sheet name="Blank" sheetId="14" r:id="rId12"/>
  </sheets>
  <definedNames>
    <definedName name="EmployeeRange">Main!$B$2:$B$100</definedName>
  </definedNames>
  <calcPr calcId="14562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11" i="2"/>
  <c r="B10" i="2"/>
  <c r="B9" i="2"/>
  <c r="B8" i="2"/>
  <c r="B7" i="2"/>
  <c r="B6" i="2"/>
  <c r="B5" i="2"/>
  <c r="B4" i="2"/>
  <c r="K2" i="3"/>
  <c r="W2" i="5"/>
  <c r="T2" i="7"/>
  <c r="K2" i="6"/>
  <c r="W2" i="8"/>
  <c r="K2" i="13"/>
  <c r="T2" i="6"/>
  <c r="N2" i="7"/>
  <c r="Q2" i="11"/>
  <c r="K2" i="7"/>
  <c r="Q2" i="8"/>
  <c r="Q2" i="7"/>
  <c r="N2" i="3"/>
  <c r="T2" i="8"/>
  <c r="N2" i="10"/>
  <c r="N2" i="5"/>
  <c r="K2" i="10"/>
  <c r="N2" i="11"/>
  <c r="T2" i="13"/>
  <c r="K2" i="5"/>
  <c r="N2" i="9"/>
  <c r="Q2" i="3"/>
  <c r="W2" i="9"/>
  <c r="W2" i="10"/>
  <c r="N2" i="12"/>
  <c r="W2" i="7"/>
  <c r="K2" i="12"/>
  <c r="T2" i="5"/>
  <c r="W2" i="11"/>
  <c r="K2" i="11"/>
  <c r="N2" i="8"/>
  <c r="Q2" i="13"/>
  <c r="Q2" i="9"/>
  <c r="N2" i="13"/>
  <c r="W2" i="3"/>
  <c r="T2" i="3"/>
  <c r="Q2" i="12"/>
  <c r="K2" i="8"/>
  <c r="N2" i="6"/>
  <c r="Q2" i="5"/>
  <c r="W2" i="13"/>
  <c r="T2" i="9"/>
  <c r="T2" i="12"/>
  <c r="Q2" i="10"/>
  <c r="Q2" i="6"/>
  <c r="W2" i="6"/>
  <c r="T2" i="11"/>
  <c r="K2" i="9"/>
  <c r="W2" i="12"/>
  <c r="T2" i="10"/>
  <c r="G9" i="2" l="1"/>
  <c r="C3" i="2"/>
  <c r="G10" i="2"/>
  <c r="F8" i="2"/>
  <c r="F11" i="2"/>
  <c r="F6" i="2"/>
  <c r="G8" i="2"/>
  <c r="G5" i="2"/>
  <c r="C11" i="2"/>
  <c r="D3" i="2"/>
  <c r="D8" i="2"/>
  <c r="E4" i="2"/>
  <c r="C2" i="2"/>
  <c r="E9" i="2"/>
  <c r="F3" i="2"/>
  <c r="F5" i="2"/>
  <c r="C5" i="2"/>
  <c r="E5" i="2"/>
  <c r="D11" i="2"/>
  <c r="F4" i="2"/>
  <c r="C7" i="2"/>
  <c r="C6" i="2"/>
  <c r="G11" i="2"/>
  <c r="E6" i="2"/>
  <c r="G6" i="2"/>
  <c r="E3" i="2"/>
  <c r="C4" i="2"/>
  <c r="D9" i="2"/>
  <c r="E11" i="2"/>
  <c r="D7" i="2"/>
  <c r="G4" i="2"/>
  <c r="E2" i="2"/>
  <c r="C8" i="2"/>
  <c r="C10" i="2"/>
  <c r="D2" i="2"/>
  <c r="D10" i="2"/>
  <c r="E10" i="2"/>
  <c r="E8" i="2"/>
  <c r="G3" i="2"/>
  <c r="G7" i="2"/>
  <c r="G2" i="2"/>
  <c r="F9" i="2"/>
  <c r="F10" i="2"/>
  <c r="F2" i="2"/>
  <c r="D5" i="2"/>
  <c r="C9" i="2"/>
  <c r="D4" i="2"/>
  <c r="E7" i="2"/>
  <c r="F7" i="2"/>
  <c r="D6" i="2"/>
</calcChain>
</file>

<file path=xl/sharedStrings.xml><?xml version="1.0" encoding="utf-8"?>
<sst xmlns="http://schemas.openxmlformats.org/spreadsheetml/2006/main" count="566" uniqueCount="86">
  <si>
    <t>Reviewer</t>
  </si>
  <si>
    <t>Christine Withers</t>
  </si>
  <si>
    <t>CPT Setu Mala</t>
  </si>
  <si>
    <t>CPT Varner</t>
  </si>
  <si>
    <t>Melisa Lyle</t>
  </si>
  <si>
    <t>Connie Tillman</t>
  </si>
  <si>
    <t>Taquisha Edwards</t>
  </si>
  <si>
    <t>Melinda Baggs</t>
  </si>
  <si>
    <t>CPT Jordan</t>
  </si>
  <si>
    <t>MAJ Vogt</t>
  </si>
  <si>
    <t>Cynthia Smith</t>
  </si>
  <si>
    <t>Admin</t>
  </si>
  <si>
    <t>Date</t>
  </si>
  <si>
    <t>Previous Selection</t>
  </si>
  <si>
    <t>Password:</t>
  </si>
  <si>
    <t>Selection 1</t>
  </si>
  <si>
    <t>Strenghts</t>
  </si>
  <si>
    <t>1a Value</t>
  </si>
  <si>
    <t>2a Value</t>
  </si>
  <si>
    <t>4a Value</t>
  </si>
  <si>
    <t>5a Value</t>
  </si>
  <si>
    <t>1b Value</t>
  </si>
  <si>
    <t>1a Comment</t>
  </si>
  <si>
    <t>Selection 2</t>
  </si>
  <si>
    <t>Selection 3</t>
  </si>
  <si>
    <t>Selection 4</t>
  </si>
  <si>
    <t>Selection 5</t>
  </si>
  <si>
    <t>1b Comment</t>
  </si>
  <si>
    <t>2a Comment</t>
  </si>
  <si>
    <t>2b Value</t>
  </si>
  <si>
    <t>2b Comment</t>
  </si>
  <si>
    <t>3a Value</t>
  </si>
  <si>
    <t xml:space="preserve">3a Comment </t>
  </si>
  <si>
    <t>3b Value</t>
  </si>
  <si>
    <t>3b Comment</t>
  </si>
  <si>
    <t>4a Comment</t>
  </si>
  <si>
    <t>4b Value</t>
  </si>
  <si>
    <t>4b Comment</t>
  </si>
  <si>
    <t>5a Comment</t>
  </si>
  <si>
    <t>5b Value</t>
  </si>
  <si>
    <t>5b Comment</t>
  </si>
  <si>
    <t>6a Value</t>
  </si>
  <si>
    <t>6a Comment</t>
  </si>
  <si>
    <t>6b Value</t>
  </si>
  <si>
    <t>6b Comment</t>
  </si>
  <si>
    <t>7a Value</t>
  </si>
  <si>
    <t>7a Comment</t>
  </si>
  <si>
    <t>7b Value</t>
  </si>
  <si>
    <t>7b Comment</t>
  </si>
  <si>
    <t>8a Value</t>
  </si>
  <si>
    <t>8a Comment</t>
  </si>
  <si>
    <t>8b Value</t>
  </si>
  <si>
    <t>8b Comment</t>
  </si>
  <si>
    <t>Developmental Areas</t>
  </si>
  <si>
    <t>Email</t>
  </si>
  <si>
    <t>Security Level</t>
  </si>
  <si>
    <t>Nurse</t>
  </si>
  <si>
    <t>Supervisor</t>
  </si>
  <si>
    <r>
      <rPr>
        <b/>
        <sz val="16"/>
        <color theme="1"/>
        <rFont val="Calibri"/>
        <family val="2"/>
        <scheme val="minor"/>
      </rPr>
      <t>Reviewers</t>
    </r>
    <r>
      <rPr>
        <sz val="16"/>
        <color theme="1"/>
        <rFont val="Calibri"/>
        <family val="2"/>
        <scheme val="minor"/>
      </rPr>
      <t xml:space="preserve">     </t>
    </r>
    <r>
      <rPr>
        <sz val="11"/>
        <color theme="1"/>
        <rFont val="Calibri"/>
        <family val="2"/>
        <scheme val="minor"/>
      </rPr>
      <t xml:space="preserve"> (Double Click Name to View Details)</t>
    </r>
  </si>
  <si>
    <t>Goals for On-going Development</t>
  </si>
  <si>
    <t>Developmental Discussion</t>
  </si>
  <si>
    <t>SELECTIONS</t>
  </si>
  <si>
    <t>Current Selection 1</t>
  </si>
  <si>
    <t>Current Selection 2</t>
  </si>
  <si>
    <t>Current Selection 3</t>
  </si>
  <si>
    <t>Current Selection 4</t>
  </si>
  <si>
    <t>Current Selection 5</t>
  </si>
  <si>
    <t>Strengths</t>
  </si>
  <si>
    <t>Enable Macros Please….</t>
  </si>
  <si>
    <t>Very Rarely</t>
  </si>
  <si>
    <t>Rarely</t>
  </si>
  <si>
    <t>Somewhat</t>
  </si>
  <si>
    <t>Often</t>
  </si>
  <si>
    <t>n/a</t>
  </si>
  <si>
    <t>Click Here to Send CPT Jordan an Email</t>
  </si>
  <si>
    <t>Click Here to Send Mrs. Tillman an Email</t>
  </si>
  <si>
    <t>Click Here to Send Ms. Withers an Email</t>
  </si>
  <si>
    <t>Click Here to Send CPT Setu an Email</t>
  </si>
  <si>
    <t>Click Here to Send CPT Varner an Email</t>
  </si>
  <si>
    <t>Click Here to Send Mrs. Smith an Email</t>
  </si>
  <si>
    <t>Click Here to Send MAJ Vogt an Email</t>
  </si>
  <si>
    <t>Click Here to Send Ms. Baggs an Email</t>
  </si>
  <si>
    <t>Click Here to Send Ms. Lyle an Email</t>
  </si>
  <si>
    <t>Ckick Here to Send Ms. Edwards an Email</t>
  </si>
  <si>
    <t>Evaluated Score</t>
  </si>
  <si>
    <t>Previous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</si>
</sst>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8"/>
      <color rgb="FF000000"/>
      <name val="Agency FB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66FF"/>
        <bgColor indexed="64"/>
      </patternFill>
    </fill>
  </fills>
  <borders count="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Fill="1"/>
    <xf numFmtId="49" fontId="0" fillId="0" borderId="0" xfId="0" applyNumberFormat="1" applyFont="1" applyFill="1" applyBorder="1" applyAlignment="1"/>
    <xf numFmtId="49" fontId="0" fillId="0" borderId="0" xfId="0" applyNumberFormat="1" applyAlignment="1"/>
    <xf numFmtId="0" fontId="0" fillId="0" borderId="0" xfId="0" applyFill="1" applyBorder="1"/>
    <xf numFmtId="49" fontId="2" fillId="0" borderId="0" xfId="0" applyNumberFormat="1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textRotation="90" wrapText="1"/>
    </xf>
    <xf numFmtId="0" fontId="0" fillId="2" borderId="0" xfId="0" applyFill="1"/>
    <xf numFmtId="0" fontId="3" fillId="2" borderId="0" xfId="0" applyFont="1" applyFill="1" applyBorder="1" applyAlignment="1">
      <alignment horizontal="right" vertical="center" wrapText="1"/>
    </xf>
    <xf numFmtId="22" fontId="0" fillId="0" borderId="0" xfId="0" applyNumberFormat="1"/>
    <xf numFmtId="49" fontId="2" fillId="3" borderId="0" xfId="0" applyNumberFormat="1" applyFont="1" applyFill="1" applyBorder="1" applyAlignment="1">
      <alignment horizontal="center"/>
    </xf>
    <xf numFmtId="49" fontId="2" fillId="2" borderId="0" xfId="0" applyNumberFormat="1" applyFont="1" applyFill="1" applyBorder="1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6" fillId="0" borderId="0" xfId="0" applyFont="1" applyFill="1"/>
    <xf numFmtId="49" fontId="6" fillId="0" borderId="0" xfId="0" applyNumberFormat="1" applyFont="1" applyFill="1"/>
    <xf numFmtId="0" fontId="6" fillId="0" borderId="0" xfId="0" applyFont="1"/>
    <xf numFmtId="22" fontId="6" fillId="0" borderId="0" xfId="0" applyNumberFormat="1" applyFont="1" applyFill="1"/>
    <xf numFmtId="0" fontId="0" fillId="0" borderId="0" xfId="0" applyBorder="1"/>
    <xf numFmtId="0" fontId="4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2" fillId="5" borderId="0" xfId="0" applyFont="1" applyFill="1" applyAlignment="1"/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vertical="center" wrapText="1"/>
    </xf>
    <xf numFmtId="0" fontId="0" fillId="7" borderId="0" xfId="0" applyFill="1"/>
    <xf numFmtId="0" fontId="0" fillId="8" borderId="0" xfId="0" applyFill="1"/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4" fillId="0" borderId="1" xfId="0" applyNumberFormat="1" applyFont="1" applyFill="1" applyBorder="1" applyAlignment="1"/>
    <xf numFmtId="49" fontId="4" fillId="0" borderId="2" xfId="0" applyNumberFormat="1" applyFont="1" applyFill="1" applyBorder="1" applyAlignment="1"/>
    <xf numFmtId="0" fontId="0" fillId="0" borderId="5" xfId="0" applyBorder="1" applyAlignment="1">
      <alignment horizontal="center"/>
    </xf>
    <xf numFmtId="0" fontId="4" fillId="0" borderId="1" xfId="0" applyNumberFormat="1" applyFont="1" applyFill="1" applyBorder="1" applyAlignment="1">
      <alignment horizontal="left"/>
    </xf>
    <xf numFmtId="0" fontId="4" fillId="0" borderId="2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49" fontId="0" fillId="6" borderId="4" xfId="0" applyNumberFormat="1" applyFont="1" applyFill="1" applyBorder="1" applyAlignment="1">
      <alignment horizontal="center"/>
    </xf>
    <xf numFmtId="0" fontId="8" fillId="0" borderId="1" xfId="1" applyBorder="1" applyAlignment="1">
      <alignment horizontal="center"/>
    </xf>
    <xf numFmtId="0" fontId="8" fillId="0" borderId="3" xfId="1" applyBorder="1" applyAlignment="1">
      <alignment horizontal="center"/>
    </xf>
    <xf numFmtId="0" fontId="8" fillId="0" borderId="2" xfId="1" applyBorder="1" applyAlignment="1">
      <alignment horizontal="center"/>
    </xf>
    <xf numFmtId="0" fontId="8" fillId="0" borderId="1" xfId="1" applyBorder="1" applyAlignment="1">
      <alignment horizontal="left"/>
    </xf>
    <xf numFmtId="0" fontId="8" fillId="0" borderId="3" xfId="1" applyBorder="1" applyAlignment="1">
      <alignment horizontal="left"/>
    </xf>
    <xf numFmtId="0" fontId="8" fillId="0" borderId="2" xfId="1" applyBorder="1" applyAlignment="1">
      <alignment horizontal="left"/>
    </xf>
    <xf numFmtId="0" fontId="9" fillId="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469900</xdr:colOff>
      <xdr:row>0</xdr:row>
      <xdr:rowOff>431800</xdr:rowOff>
    </xdr:from>
    <xdr:ext cx="184731" cy="264560"/>
    <xdr:sp macro="" textlink="">
      <xdr:nvSpPr>
        <xdr:cNvPr id="2" name="TextBox 1"/>
        <xdr:cNvSpPr txBox="1"/>
      </xdr:nvSpPr>
      <xdr:spPr>
        <a:xfrm>
          <a:off x="15405100" y="43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828675</xdr:colOff>
          <xdr:row>0</xdr:row>
          <xdr:rowOff>180975</xdr:rowOff>
        </xdr:from>
        <xdr:to>
          <xdr:col>12</xdr:col>
          <xdr:colOff>9525</xdr:colOff>
          <xdr:row>0</xdr:row>
          <xdr:rowOff>1133475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gency FB"/>
                </a:rPr>
                <a:t>Click this Button to Hide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127000</xdr:colOff>
      <xdr:row>6</xdr:row>
      <xdr:rowOff>127000</xdr:rowOff>
    </xdr:from>
    <xdr:to>
      <xdr:col>8</xdr:col>
      <xdr:colOff>12700</xdr:colOff>
      <xdr:row>29</xdr:row>
      <xdr:rowOff>122440</xdr:rowOff>
    </xdr:to>
    <xdr:pic>
      <xdr:nvPicPr>
        <xdr:cNvPr id="3" name="Picture 2" descr="url-1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181100"/>
          <a:ext cx="3924300" cy="40848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christine.d.withers2.civ@mail.mil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onnie.k.tillman.civ@mail.mil?subject=Peer%20Review%20Too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zamorya.s.jordon.mil@mail.mil?subject=Peer%20Review%20Too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peata.setumalala.mil@mail.mil?subject=Peer%20Review%20Too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mary.a.varner2.mil@mail.mil?subject=Peer%20Review%20Too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cynthia.l.thomassmith.civ@mail.mil?subject=Peer%20Review%20Too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brian.d.vogt.mil@mail.mil?subject=Peer%20Review%20Too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melinda.baggs.civ@mail.mil?subject=Peer%20Review%20Tool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melisa.m.lyle.civ@mail.mil?subject=Peer%20Review%20Too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taquisha.d.edwards.civ@mail.mil?subject=Peer%20Review%20Too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V44"/>
  <sheetViews>
    <sheetView zoomScale="75" zoomScaleNormal="75" zoomScalePageLayoutView="75" workbookViewId="0">
      <pane ySplit="1" topLeftCell="A2" activePane="bottomLeft" state="frozen"/>
      <selection activeCell="A3" sqref="A3:B3"/>
      <selection pane="bottomLeft" activeCell="B6" sqref="B6"/>
    </sheetView>
  </sheetViews>
  <sheetFormatPr defaultColWidth="18.42578125" defaultRowHeight="15" x14ac:dyDescent="0.25"/>
  <cols>
    <col min="1" max="1" width="20.28515625" style="1" customWidth="1"/>
    <col min="2" max="2" width="23.42578125" style="1" customWidth="1"/>
    <col min="3" max="3" width="24.28515625" style="1" customWidth="1"/>
    <col min="4" max="4" width="25.42578125" style="1" customWidth="1"/>
    <col min="5" max="5" width="22.85546875" style="1" customWidth="1"/>
    <col min="6" max="6" width="23.28515625" style="1" customWidth="1"/>
    <col min="7" max="7" width="23" style="1" customWidth="1"/>
    <col min="8" max="13" width="18.42578125" style="1"/>
    <col min="14" max="14" width="23.140625" style="1" customWidth="1"/>
    <col min="15" max="15" width="8.7109375" style="1" customWidth="1"/>
    <col min="16" max="16384" width="18.42578125" style="1"/>
  </cols>
  <sheetData>
    <row r="1" spans="1:126" s="9" customFormat="1" ht="104.25" customHeight="1" x14ac:dyDescent="0.25">
      <c r="A1" s="16" t="s">
        <v>55</v>
      </c>
      <c r="B1" s="6" t="s">
        <v>58</v>
      </c>
      <c r="C1" s="15" t="s">
        <v>15</v>
      </c>
      <c r="D1" s="15" t="s">
        <v>23</v>
      </c>
      <c r="E1" s="15" t="s">
        <v>24</v>
      </c>
      <c r="F1" s="15" t="s">
        <v>25</v>
      </c>
      <c r="G1" s="15" t="s">
        <v>26</v>
      </c>
      <c r="H1" s="7"/>
      <c r="I1" s="7"/>
      <c r="J1" s="7"/>
      <c r="K1" s="7"/>
      <c r="L1" s="8"/>
      <c r="M1" s="10" t="s">
        <v>14</v>
      </c>
      <c r="N1" s="25" t="s">
        <v>11</v>
      </c>
      <c r="O1" s="26"/>
    </row>
    <row r="2" spans="1:126" ht="18.75" x14ac:dyDescent="0.3">
      <c r="A2" s="17" t="s">
        <v>56</v>
      </c>
      <c r="B2" s="18" t="s">
        <v>1</v>
      </c>
      <c r="C2" s="19" t="str">
        <f ca="1">IF('Christine Withers'!K2="","",'Christine Withers'!K2)</f>
        <v>No Selection</v>
      </c>
      <c r="D2" s="19" t="str">
        <f ca="1">IF('Christine Withers'!N2="","",'Christine Withers'!N2)</f>
        <v>No Selection</v>
      </c>
      <c r="E2" s="19" t="str">
        <f ca="1">IF('Christine Withers'!Q2="","",'Christine Withers'!Q2)</f>
        <v>No Selection</v>
      </c>
      <c r="F2" s="19" t="str">
        <f ca="1">IF('Christine Withers'!T2="","",'Christine Withers'!T2)</f>
        <v>No Selection</v>
      </c>
      <c r="G2" s="19" t="str">
        <f ca="1">IF('Christine Withers'!W2="","",'Christine Withers'!W2)</f>
        <v>No Selection</v>
      </c>
      <c r="H2" s="4"/>
      <c r="I2" s="4"/>
      <c r="J2" s="4"/>
      <c r="K2" s="4"/>
      <c r="L2" s="4"/>
      <c r="M2" s="4"/>
      <c r="N2" s="4"/>
      <c r="O2" s="4"/>
      <c r="P2" s="4"/>
    </row>
    <row r="3" spans="1:126" ht="18.75" x14ac:dyDescent="0.3">
      <c r="A3" s="17" t="s">
        <v>56</v>
      </c>
      <c r="B3" s="18" t="str">
        <f>'Connie Tillman'!A2</f>
        <v>Connie Tillman</v>
      </c>
      <c r="C3" s="19" t="str">
        <f ca="1">IF('Connie Tillman'!K2="","",'Connie Tillman'!K2)</f>
        <v>CPT Varner</v>
      </c>
      <c r="D3" s="19" t="str">
        <f ca="1">IF('Connie Tillman'!N2="","",'Connie Tillman'!N2)</f>
        <v>Cynthia Smith</v>
      </c>
      <c r="E3" s="19" t="str">
        <f ca="1">IF('Connie Tillman'!Q2="","",'Connie Tillman'!Q2)</f>
        <v>Melinda Baggs</v>
      </c>
      <c r="F3" s="19" t="str">
        <f ca="1">IF('Connie Tillman'!T2="","",'Connie Tillman'!T2)</f>
        <v>Christine Withers</v>
      </c>
      <c r="G3" s="19" t="str">
        <f ca="1">IF('Connie Tillman'!W2="","",'Connie Tillman'!W2)</f>
        <v>No Selection</v>
      </c>
      <c r="H3" s="4"/>
      <c r="I3" s="4"/>
      <c r="J3" s="4"/>
      <c r="K3" s="4"/>
      <c r="L3" s="4"/>
      <c r="M3" s="4"/>
      <c r="N3" s="4"/>
      <c r="O3" s="4"/>
      <c r="P3" s="4"/>
    </row>
    <row r="4" spans="1:126" ht="18.75" x14ac:dyDescent="0.3">
      <c r="A4" s="17" t="s">
        <v>56</v>
      </c>
      <c r="B4" s="18" t="str">
        <f>'CPT Jordan'!A2</f>
        <v>CPT Jordan</v>
      </c>
      <c r="C4" s="19" t="str">
        <f ca="1">IF('CPT Jordan'!K2="","",'CPT Jordan'!K2)</f>
        <v>No Selection</v>
      </c>
      <c r="D4" s="19" t="str">
        <f ca="1">IF('CPT Jordan'!N2="","",'CPT Jordan'!N2)</f>
        <v>No Selection</v>
      </c>
      <c r="E4" s="19" t="str">
        <f ca="1">IF('CPT Jordan'!Q2="","",'CPT Jordan'!Q2)</f>
        <v>No Selection</v>
      </c>
      <c r="F4" s="19" t="str">
        <f ca="1">IF('CPT Jordan'!T2="","",'CPT Jordan'!T2)</f>
        <v>No Selection</v>
      </c>
      <c r="G4" s="19" t="str">
        <f ca="1">IF('CPT Jordan'!W2="","",'CPT Jordan'!W2)</f>
        <v>No Selection</v>
      </c>
      <c r="H4" s="4"/>
      <c r="I4" s="4"/>
      <c r="J4" s="4"/>
      <c r="K4" s="4"/>
      <c r="L4" s="4"/>
      <c r="M4" s="4"/>
      <c r="N4" s="4"/>
      <c r="O4" s="4"/>
      <c r="P4" s="4"/>
    </row>
    <row r="5" spans="1:126" ht="18.75" x14ac:dyDescent="0.3">
      <c r="A5" s="17" t="s">
        <v>56</v>
      </c>
      <c r="B5" s="18" t="str">
        <f>'CPT Setu Mala'!A2</f>
        <v>CPT Setu Mala</v>
      </c>
      <c r="C5" s="19" t="str">
        <f ca="1">IF('CPT Setu Mala'!K2="","",'CPT Setu Mala'!K2)</f>
        <v>No Selection</v>
      </c>
      <c r="D5" s="19" t="str">
        <f ca="1">IF('CPT Setu Mala'!N2="","",'CPT Setu Mala'!N2)</f>
        <v>No Selection</v>
      </c>
      <c r="E5" s="19" t="str">
        <f ca="1">IF('CPT Setu Mala'!Q2="","",'CPT Setu Mala'!Q2)</f>
        <v>No Selection</v>
      </c>
      <c r="F5" s="19" t="str">
        <f ca="1">IF('CPT Setu Mala'!T2="","",'CPT Setu Mala'!T2)</f>
        <v>No Selection</v>
      </c>
      <c r="G5" s="19" t="str">
        <f ca="1">IF('CPT Setu Mala'!W2="","",'CPT Setu Mala'!W2)</f>
        <v>No Selection</v>
      </c>
      <c r="H5" s="4"/>
      <c r="I5" s="4"/>
      <c r="J5" s="4"/>
      <c r="K5" s="4"/>
      <c r="L5" s="4"/>
      <c r="M5" s="4"/>
      <c r="N5" s="4"/>
      <c r="O5" s="4"/>
      <c r="P5" s="4"/>
    </row>
    <row r="6" spans="1:126" ht="18.75" x14ac:dyDescent="0.3">
      <c r="A6" s="17" t="s">
        <v>56</v>
      </c>
      <c r="B6" s="18" t="str">
        <f>'CPT Varner'!A2</f>
        <v>CPT Varner</v>
      </c>
      <c r="C6" s="19" t="str">
        <f ca="1">IF('CPT Varner'!K2="","",'CPT Varner'!K2)</f>
        <v>No Selection</v>
      </c>
      <c r="D6" s="19" t="str">
        <f ca="1">IF('CPT Varner'!N2="","",'CPT Varner'!N2)</f>
        <v>No Selection</v>
      </c>
      <c r="E6" s="19" t="str">
        <f ca="1">IF('CPT Varner'!Q2="","",'CPT Varner'!Q2)</f>
        <v>No Selection</v>
      </c>
      <c r="F6" s="19" t="str">
        <f ca="1">IF('CPT Varner'!T2="","",'CPT Varner'!T2)</f>
        <v>No Selection</v>
      </c>
      <c r="G6" s="19" t="str">
        <f ca="1">IF('CPT Varner'!W2="","",'CPT Varner'!W2)</f>
        <v>No Selection</v>
      </c>
      <c r="H6" s="4"/>
      <c r="I6" s="4"/>
      <c r="J6" s="4"/>
      <c r="K6" s="4"/>
      <c r="L6" s="4"/>
      <c r="M6" s="4"/>
      <c r="N6" s="4"/>
      <c r="O6" s="4"/>
      <c r="P6" s="4"/>
    </row>
    <row r="7" spans="1:126" ht="18.75" x14ac:dyDescent="0.3">
      <c r="A7" s="17" t="s">
        <v>56</v>
      </c>
      <c r="B7" s="18" t="str">
        <f>'Cynthia Smith'!A2</f>
        <v>Cynthia Smith</v>
      </c>
      <c r="C7" s="19" t="str">
        <f ca="1">IF('Cynthia Smith'!K2="","",'Cynthia Smith'!K2)</f>
        <v>No Selection</v>
      </c>
      <c r="D7" s="19" t="str">
        <f ca="1">IF('Cynthia Smith'!N2="","",'Cynthia Smith'!N2)</f>
        <v>No Selection</v>
      </c>
      <c r="E7" s="19" t="str">
        <f ca="1">IF('Cynthia Smith'!Q2="","",'Cynthia Smith'!Q2)</f>
        <v>No Selection</v>
      </c>
      <c r="F7" s="19" t="str">
        <f ca="1">IF('Cynthia Smith'!T2="","",'Cynthia Smith'!T2)</f>
        <v>No Selection</v>
      </c>
      <c r="G7" s="19" t="str">
        <f ca="1">IF('Cynthia Smith'!W2="","",'Cynthia Smith'!W2)</f>
        <v>No Selection</v>
      </c>
      <c r="H7" s="4"/>
      <c r="I7" s="4"/>
      <c r="J7" s="4"/>
      <c r="K7" s="4"/>
      <c r="L7" s="4"/>
      <c r="M7" s="4"/>
      <c r="N7" s="4"/>
      <c r="O7" s="4"/>
      <c r="P7" s="4"/>
    </row>
    <row r="8" spans="1:126" ht="18.75" x14ac:dyDescent="0.3">
      <c r="A8" s="17" t="s">
        <v>57</v>
      </c>
      <c r="B8" s="18" t="str">
        <f>'MAJ Vogt'!A2</f>
        <v>MAJ Vogt</v>
      </c>
      <c r="C8" s="19" t="str">
        <f ca="1">IF('MAJ Vogt'!K2="","",'MAJ Vogt'!K2)</f>
        <v>No Selection</v>
      </c>
      <c r="D8" s="19" t="str">
        <f ca="1">IF('MAJ Vogt'!N2="","",'MAJ Vogt'!N2)</f>
        <v>No Selection</v>
      </c>
      <c r="E8" s="19" t="str">
        <f ca="1">IF('MAJ Vogt'!Q2="","",'MAJ Vogt'!Q2)</f>
        <v>No Selection</v>
      </c>
      <c r="F8" s="19" t="str">
        <f ca="1">IF('MAJ Vogt'!T2="","",'MAJ Vogt'!T2)</f>
        <v>No Selection</v>
      </c>
      <c r="G8" s="19" t="str">
        <f ca="1">IF('MAJ Vogt'!W2="","",'MAJ Vogt'!W2)</f>
        <v>No Selection</v>
      </c>
      <c r="H8" s="4"/>
      <c r="I8" s="4"/>
      <c r="J8" s="4"/>
      <c r="K8" s="4"/>
      <c r="L8" s="4"/>
      <c r="M8" s="4"/>
      <c r="N8" s="4"/>
      <c r="O8" s="4"/>
      <c r="P8" s="4"/>
    </row>
    <row r="9" spans="1:126" ht="18.75" x14ac:dyDescent="0.3">
      <c r="A9" s="17" t="s">
        <v>56</v>
      </c>
      <c r="B9" s="18" t="str">
        <f>'Melinda Baggs'!A2</f>
        <v>Melinda Baggs</v>
      </c>
      <c r="C9" s="19" t="str">
        <f ca="1">IF('Melinda Baggs'!K2="","",'Melinda Baggs'!K2)</f>
        <v>Connie Tillman</v>
      </c>
      <c r="D9" s="19" t="str">
        <f ca="1">IF('Melinda Baggs'!N2="","",'Melinda Baggs'!N2)</f>
        <v>CPT Jordan</v>
      </c>
      <c r="E9" s="19" t="str">
        <f ca="1">IF('Melinda Baggs'!Q2="","",'Melinda Baggs'!Q2)</f>
        <v>CPT Setu Mala</v>
      </c>
      <c r="F9" s="19" t="str">
        <f ca="1">IF('Melinda Baggs'!T2="","",'Melinda Baggs'!T2)</f>
        <v>CPT Varner</v>
      </c>
      <c r="G9" s="19" t="str">
        <f ca="1">IF('Melinda Baggs'!W2="","",'Melinda Baggs'!W2)</f>
        <v>No Selection</v>
      </c>
      <c r="H9" s="4"/>
      <c r="I9" s="4"/>
      <c r="J9" s="4"/>
      <c r="K9" s="4"/>
      <c r="L9" s="4"/>
      <c r="M9" s="4"/>
      <c r="N9" s="4"/>
      <c r="O9" s="4"/>
      <c r="P9" s="4"/>
    </row>
    <row r="10" spans="1:126" ht="18.75" x14ac:dyDescent="0.3">
      <c r="A10" s="17" t="s">
        <v>56</v>
      </c>
      <c r="B10" s="18" t="str">
        <f>'Melisa Lyle'!A2</f>
        <v>Melisa Lyle</v>
      </c>
      <c r="C10" s="19" t="str">
        <f ca="1">IF('Melisa Lyle'!K2="","",'Melisa Lyle'!K2)</f>
        <v>CPT Varner</v>
      </c>
      <c r="D10" s="19" t="str">
        <f ca="1">IF('Melisa Lyle'!N2="","",'Melisa Lyle'!N2)</f>
        <v>Melinda Baggs</v>
      </c>
      <c r="E10" s="19" t="str">
        <f ca="1">IF('Melisa Lyle'!Q2="","",'Melisa Lyle'!Q2)</f>
        <v>Taquisha Edwards</v>
      </c>
      <c r="F10" s="19" t="str">
        <f ca="1">IF('Melisa Lyle'!T2="","",'Melisa Lyle'!T2)</f>
        <v>No Selection</v>
      </c>
      <c r="G10" s="19" t="str">
        <f ca="1">IF('Melisa Lyle'!W2="","",'Melisa Lyle'!W2)</f>
        <v>No Selection</v>
      </c>
      <c r="H10" s="4"/>
      <c r="I10" s="4"/>
      <c r="J10" s="4"/>
      <c r="K10" s="4"/>
      <c r="L10" s="4"/>
      <c r="M10" s="4"/>
      <c r="N10" s="4"/>
      <c r="O10" s="4"/>
      <c r="P10" s="4"/>
    </row>
    <row r="11" spans="1:126" ht="18.75" x14ac:dyDescent="0.3">
      <c r="A11" s="17" t="s">
        <v>56</v>
      </c>
      <c r="B11" s="18" t="str">
        <f>'Taquisha Edwards'!A2</f>
        <v>Taquisha Edwards</v>
      </c>
      <c r="C11" s="19" t="str">
        <f ca="1">IF('Taquisha Edwards'!K2="","",'Taquisha Edwards'!K2)</f>
        <v>No Selection</v>
      </c>
      <c r="D11" s="19" t="str">
        <f ca="1">IF('Taquisha Edwards'!N2="","",'Taquisha Edwards'!N2)</f>
        <v>No Selection</v>
      </c>
      <c r="E11" s="19" t="str">
        <f ca="1">IF('Taquisha Edwards'!Q2="","",'Taquisha Edwards'!Q2)</f>
        <v>No Selection</v>
      </c>
      <c r="F11" s="19" t="str">
        <f ca="1">IF('Taquisha Edwards'!T2="","",'Taquisha Edwards'!T2)</f>
        <v>No Selection</v>
      </c>
      <c r="G11" s="19" t="str">
        <f ca="1">IF('Taquisha Edwards'!W2="","",'Taquisha Edwards'!W2)</f>
        <v>No Selection</v>
      </c>
      <c r="H11" s="4"/>
      <c r="I11" s="4"/>
      <c r="J11" s="4"/>
      <c r="K11" s="4"/>
      <c r="L11" s="4"/>
      <c r="M11" s="4"/>
      <c r="N11" s="4"/>
      <c r="O11" s="4"/>
      <c r="P11" s="4"/>
    </row>
    <row r="12" spans="1:126" ht="18.75" x14ac:dyDescent="0.3">
      <c r="A12" s="17"/>
      <c r="B12" s="20"/>
      <c r="C12" s="17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</row>
    <row r="13" spans="1:126" ht="18.75" x14ac:dyDescent="0.3">
      <c r="A13" s="17"/>
      <c r="B13" s="17"/>
      <c r="C13" s="17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DV13"/>
    </row>
    <row r="14" spans="1:126" ht="18.75" x14ac:dyDescent="0.3">
      <c r="A14" s="17"/>
      <c r="B14" s="17"/>
      <c r="C14" s="17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</row>
    <row r="15" spans="1:126" ht="18.75" x14ac:dyDescent="0.3">
      <c r="A15" s="17"/>
      <c r="B15" s="17"/>
      <c r="C15" s="17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</row>
    <row r="16" spans="1:126" ht="18.75" x14ac:dyDescent="0.3">
      <c r="A16" s="17"/>
      <c r="B16" s="17"/>
      <c r="C16" s="17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</row>
    <row r="17" spans="1:16" ht="18.75" x14ac:dyDescent="0.3">
      <c r="A17" s="17"/>
      <c r="B17" s="17"/>
      <c r="C17" s="17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</row>
    <row r="18" spans="1:16" ht="18.75" x14ac:dyDescent="0.3">
      <c r="A18" s="17"/>
      <c r="B18" s="17"/>
      <c r="C18" s="17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</row>
    <row r="19" spans="1:16" ht="18.75" x14ac:dyDescent="0.3">
      <c r="A19" s="17"/>
      <c r="B19" s="17"/>
      <c r="C19" s="17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</row>
    <row r="20" spans="1:16" ht="18.75" x14ac:dyDescent="0.3">
      <c r="A20" s="17"/>
      <c r="B20" s="17"/>
      <c r="C20" s="17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</row>
    <row r="21" spans="1:16" ht="18.75" x14ac:dyDescent="0.3">
      <c r="A21" s="17"/>
      <c r="B21" s="17"/>
      <c r="C21" s="17"/>
    </row>
    <row r="22" spans="1:16" ht="18.75" x14ac:dyDescent="0.3">
      <c r="A22" s="17"/>
      <c r="B22" s="17"/>
      <c r="C22" s="17"/>
    </row>
    <row r="23" spans="1:16" ht="18.75" x14ac:dyDescent="0.3">
      <c r="A23" s="17"/>
      <c r="B23" s="17"/>
      <c r="C23" s="17"/>
    </row>
    <row r="24" spans="1:16" ht="18.75" x14ac:dyDescent="0.3">
      <c r="A24" s="17"/>
      <c r="B24" s="17"/>
      <c r="C24" s="17"/>
    </row>
    <row r="25" spans="1:16" ht="18.75" x14ac:dyDescent="0.3">
      <c r="A25" s="17"/>
      <c r="B25" s="17"/>
      <c r="C25" s="17"/>
    </row>
    <row r="26" spans="1:16" ht="18.75" x14ac:dyDescent="0.3">
      <c r="A26" s="17"/>
      <c r="B26" s="17"/>
      <c r="C26" s="17"/>
    </row>
    <row r="27" spans="1:16" ht="18.75" x14ac:dyDescent="0.3">
      <c r="A27" s="17"/>
      <c r="B27" s="17"/>
      <c r="C27" s="17"/>
    </row>
    <row r="28" spans="1:16" ht="18.75" x14ac:dyDescent="0.3">
      <c r="A28" s="17"/>
      <c r="B28" s="17"/>
      <c r="C28" s="17"/>
    </row>
    <row r="29" spans="1:16" ht="18.75" x14ac:dyDescent="0.3">
      <c r="A29" s="17"/>
      <c r="B29" s="17"/>
      <c r="C29" s="17"/>
    </row>
    <row r="30" spans="1:16" ht="18.75" x14ac:dyDescent="0.3">
      <c r="A30" s="17"/>
      <c r="B30" s="17"/>
      <c r="C30" s="17"/>
    </row>
    <row r="31" spans="1:16" ht="18.75" x14ac:dyDescent="0.3">
      <c r="A31" s="17"/>
      <c r="B31" s="17"/>
      <c r="C31" s="17"/>
    </row>
    <row r="32" spans="1:16" ht="18.75" x14ac:dyDescent="0.3">
      <c r="A32" s="17"/>
      <c r="B32" s="17"/>
      <c r="C32" s="17"/>
    </row>
    <row r="33" spans="1:3" ht="18.75" x14ac:dyDescent="0.3">
      <c r="A33" s="17"/>
      <c r="B33" s="17"/>
      <c r="C33" s="17"/>
    </row>
    <row r="34" spans="1:3" ht="18.75" x14ac:dyDescent="0.3">
      <c r="A34" s="17"/>
      <c r="B34" s="17"/>
      <c r="C34" s="17"/>
    </row>
    <row r="35" spans="1:3" ht="18.75" x14ac:dyDescent="0.3">
      <c r="A35" s="17"/>
      <c r="B35" s="17"/>
      <c r="C35" s="17"/>
    </row>
    <row r="36" spans="1:3" ht="18.75" x14ac:dyDescent="0.3">
      <c r="A36" s="17"/>
      <c r="B36" s="17"/>
      <c r="C36" s="17"/>
    </row>
    <row r="37" spans="1:3" ht="18.75" x14ac:dyDescent="0.3">
      <c r="A37" s="17"/>
      <c r="B37" s="17"/>
      <c r="C37" s="17"/>
    </row>
    <row r="38" spans="1:3" ht="18.75" x14ac:dyDescent="0.3">
      <c r="A38" s="17"/>
      <c r="B38" s="17"/>
      <c r="C38" s="17"/>
    </row>
    <row r="39" spans="1:3" ht="18.75" x14ac:dyDescent="0.3">
      <c r="A39" s="17"/>
      <c r="B39" s="17"/>
      <c r="C39" s="17"/>
    </row>
    <row r="40" spans="1:3" ht="18.75" x14ac:dyDescent="0.3">
      <c r="A40" s="17"/>
      <c r="B40" s="17"/>
      <c r="C40" s="17"/>
    </row>
    <row r="41" spans="1:3" ht="18.75" x14ac:dyDescent="0.3">
      <c r="A41" s="17"/>
      <c r="B41" s="17"/>
      <c r="C41" s="17"/>
    </row>
    <row r="42" spans="1:3" ht="18.75" x14ac:dyDescent="0.3">
      <c r="A42" s="17"/>
      <c r="B42" s="17"/>
      <c r="C42" s="17"/>
    </row>
    <row r="43" spans="1:3" ht="18.75" x14ac:dyDescent="0.3">
      <c r="A43" s="17"/>
      <c r="B43" s="17"/>
      <c r="C43" s="17"/>
    </row>
    <row r="44" spans="1:3" ht="18.75" x14ac:dyDescent="0.3">
      <c r="A44" s="17"/>
      <c r="B44" s="17"/>
      <c r="C44" s="17"/>
    </row>
  </sheetData>
  <sortState ref="B2:L14">
    <sortCondition ref="B2:B14"/>
  </sortState>
  <dataConsolidate function="count">
    <dataRefs count="1">
      <dataRef ref="L10" sheet="Main"/>
    </dataRefs>
  </dataConsolid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hideWb">
                <anchor moveWithCells="1" sizeWithCells="1">
                  <from>
                    <xdr:col>10</xdr:col>
                    <xdr:colOff>828675</xdr:colOff>
                    <xdr:row>0</xdr:row>
                    <xdr:rowOff>180975</xdr:rowOff>
                  </from>
                  <to>
                    <xdr:col>12</xdr:col>
                    <xdr:colOff>9525</xdr:colOff>
                    <xdr:row>0</xdr:row>
                    <xdr:rowOff>1133475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3"/>
  <sheetViews>
    <sheetView workbookViewId="0">
      <selection activeCell="B5" sqref="B5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1</v>
      </c>
      <c r="B2" s="33"/>
      <c r="D2" s="41" t="s">
        <v>76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No Selection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No Selection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No Selection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No Selection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/>
      <c r="D5" s="11"/>
    </row>
    <row r="6" spans="1:39" x14ac:dyDescent="0.25">
      <c r="A6" s="11"/>
    </row>
    <row r="7" spans="1:39" x14ac:dyDescent="0.25">
      <c r="A7" s="11"/>
    </row>
    <row r="8" spans="1:39" x14ac:dyDescent="0.25">
      <c r="A8" s="11"/>
    </row>
    <row r="9" spans="1:39" x14ac:dyDescent="0.25">
      <c r="A9" s="11"/>
    </row>
    <row r="10" spans="1:39" x14ac:dyDescent="0.25">
      <c r="A10" s="3"/>
    </row>
    <row r="11" spans="1:39" x14ac:dyDescent="0.25">
      <c r="A11" s="3"/>
    </row>
    <row r="12" spans="1:39" x14ac:dyDescent="0.25">
      <c r="A12" s="11"/>
    </row>
    <row r="13" spans="1:39" x14ac:dyDescent="0.25">
      <c r="A13" s="11"/>
    </row>
  </sheetData>
  <sortState ref="A5:AM5">
    <sortCondition ref="D5"/>
  </sortState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AC1:AD1"/>
    <mergeCell ref="Z2:AA2"/>
    <mergeCell ref="AC2:AD2"/>
  </mergeCells>
  <hyperlinks>
    <hyperlink ref="D2:H2" r:id="rId1" display="Click Here to Send Ms. Withers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13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5</v>
      </c>
      <c r="B2" s="33"/>
      <c r="D2" s="44" t="s">
        <v>75</v>
      </c>
      <c r="E2" s="45"/>
      <c r="F2" s="45"/>
      <c r="G2" s="45"/>
      <c r="H2" s="46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CPT Varner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Cynthia Smith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Melinda Baggs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Christine Withers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>
        <v>42381.405138888891</v>
      </c>
      <c r="B5" t="s">
        <v>8</v>
      </c>
    </row>
    <row r="6" spans="1:39" x14ac:dyDescent="0.25">
      <c r="A6" s="11">
        <v>42381.405185185184</v>
      </c>
      <c r="B6" t="s">
        <v>3</v>
      </c>
    </row>
    <row r="7" spans="1:39" x14ac:dyDescent="0.25">
      <c r="A7" s="11">
        <v>42381.405277777776</v>
      </c>
      <c r="B7" t="s">
        <v>10</v>
      </c>
    </row>
    <row r="8" spans="1:39" x14ac:dyDescent="0.25">
      <c r="A8" s="11">
        <v>42381.405370370368</v>
      </c>
      <c r="B8" t="s">
        <v>7</v>
      </c>
    </row>
    <row r="9" spans="1:39" x14ac:dyDescent="0.25">
      <c r="A9" s="11">
        <v>42480.420567129629</v>
      </c>
      <c r="B9" t="s">
        <v>1</v>
      </c>
    </row>
    <row r="10" spans="1:39" x14ac:dyDescent="0.25">
      <c r="A10" s="3"/>
    </row>
    <row r="11" spans="1:39" x14ac:dyDescent="0.25">
      <c r="A11" s="3"/>
    </row>
    <row r="12" spans="1:39" x14ac:dyDescent="0.25">
      <c r="A12" s="11"/>
    </row>
    <row r="13" spans="1:39" x14ac:dyDescent="0.25">
      <c r="A13" s="11"/>
    </row>
  </sheetData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Z2:AA2"/>
    <mergeCell ref="AC1:AD1"/>
    <mergeCell ref="AC2:AD2"/>
  </mergeCells>
  <hyperlinks>
    <hyperlink ref="D2:H2" r:id="rId1" display="Click Here to Send Mrs. Tillman an Email"/>
  </hyperlinks>
  <pageMargins left="0.7" right="0.7" top="0.75" bottom="0.75" header="0.3" footer="0.3"/>
  <pageSetup orientation="portrait"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12"/>
  <sheetViews>
    <sheetView workbookViewId="0">
      <selection activeCell="A5" sqref="A5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8</v>
      </c>
      <c r="B2" s="33"/>
      <c r="D2" s="41" t="s">
        <v>74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No Selection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No Selection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No Selection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No Selection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67</v>
      </c>
      <c r="AL4" s="14" t="s">
        <v>53</v>
      </c>
      <c r="AM4" s="12" t="s">
        <v>59</v>
      </c>
    </row>
    <row r="5" spans="1:39" x14ac:dyDescent="0.25">
      <c r="A5" s="11">
        <v>42267.910844907405</v>
      </c>
      <c r="B5" t="s">
        <v>1</v>
      </c>
      <c r="D5" s="11">
        <v>42381.340115740742</v>
      </c>
      <c r="E5" t="s">
        <v>69</v>
      </c>
      <c r="G5" t="s">
        <v>69</v>
      </c>
      <c r="I5" t="s">
        <v>69</v>
      </c>
      <c r="K5" t="s">
        <v>69</v>
      </c>
      <c r="M5" t="s">
        <v>69</v>
      </c>
      <c r="O5" t="s">
        <v>70</v>
      </c>
      <c r="Q5" t="s">
        <v>69</v>
      </c>
      <c r="S5" t="s">
        <v>71</v>
      </c>
      <c r="U5" t="s">
        <v>69</v>
      </c>
      <c r="W5" t="s">
        <v>72</v>
      </c>
      <c r="Y5" t="s">
        <v>69</v>
      </c>
      <c r="AA5" t="s">
        <v>70</v>
      </c>
      <c r="AC5" t="s">
        <v>69</v>
      </c>
      <c r="AE5" t="s">
        <v>71</v>
      </c>
      <c r="AG5" t="s">
        <v>69</v>
      </c>
      <c r="AI5" t="s">
        <v>69</v>
      </c>
      <c r="AK5" t="s">
        <v>73</v>
      </c>
      <c r="AL5" t="s">
        <v>73</v>
      </c>
      <c r="AM5" t="s">
        <v>73</v>
      </c>
    </row>
    <row r="6" spans="1:39" x14ac:dyDescent="0.25">
      <c r="A6" s="11"/>
      <c r="D6" s="11"/>
    </row>
    <row r="7" spans="1:39" x14ac:dyDescent="0.25">
      <c r="A7" s="11"/>
      <c r="D7" s="11"/>
    </row>
    <row r="8" spans="1:39" x14ac:dyDescent="0.25">
      <c r="A8" s="11"/>
      <c r="D8" s="11"/>
    </row>
    <row r="9" spans="1:39" x14ac:dyDescent="0.25">
      <c r="A9" s="3"/>
    </row>
    <row r="10" spans="1:39" x14ac:dyDescent="0.25">
      <c r="A10" s="3"/>
    </row>
    <row r="11" spans="1:39" x14ac:dyDescent="0.25">
      <c r="A11" s="11"/>
    </row>
    <row r="12" spans="1:39" x14ac:dyDescent="0.25">
      <c r="A12" s="11"/>
    </row>
  </sheetData>
  <sortState ref="A5:AM8">
    <sortCondition ref="D5"/>
  </sortState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AC1:AD1"/>
    <mergeCell ref="Z2:AA2"/>
    <mergeCell ref="AC2:AD2"/>
  </mergeCells>
  <hyperlinks>
    <hyperlink ref="D2:H2" r:id="rId1" display="Click Here to Send CPT Jordan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13"/>
  <sheetViews>
    <sheetView workbookViewId="0">
      <selection activeCell="A20" sqref="A20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2</v>
      </c>
      <c r="B2" s="33"/>
      <c r="D2" s="41" t="s">
        <v>77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No Selection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No Selection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No Selection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No Selection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>
        <v>42267.911979166667</v>
      </c>
      <c r="B5" t="s">
        <v>5</v>
      </c>
      <c r="D5" s="11"/>
    </row>
    <row r="6" spans="1:39" x14ac:dyDescent="0.25">
      <c r="A6" s="11"/>
    </row>
    <row r="7" spans="1:39" x14ac:dyDescent="0.25">
      <c r="A7" s="11"/>
    </row>
    <row r="8" spans="1:39" x14ac:dyDescent="0.25">
      <c r="A8" s="11"/>
    </row>
    <row r="9" spans="1:39" x14ac:dyDescent="0.25">
      <c r="A9" s="11"/>
    </row>
    <row r="10" spans="1:39" x14ac:dyDescent="0.25">
      <c r="A10" s="3"/>
    </row>
    <row r="11" spans="1:39" x14ac:dyDescent="0.25">
      <c r="A11" s="3"/>
    </row>
    <row r="12" spans="1:39" x14ac:dyDescent="0.25">
      <c r="A12" s="11"/>
    </row>
    <row r="13" spans="1:39" x14ac:dyDescent="0.25">
      <c r="A13" s="11"/>
    </row>
  </sheetData>
  <sortState ref="A5:AM5">
    <sortCondition ref="D5"/>
  </sortState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AC1:AD1"/>
    <mergeCell ref="Z2:AA2"/>
    <mergeCell ref="AC2:AD2"/>
  </mergeCells>
  <hyperlinks>
    <hyperlink ref="D2:H2" r:id="rId1" display="Click Here to Send CPT Setu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13"/>
  <sheetViews>
    <sheetView workbookViewId="0">
      <selection activeCell="A12" sqref="A12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3</v>
      </c>
      <c r="B2" s="33"/>
      <c r="D2" s="41" t="s">
        <v>78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No Selection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No Selection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No Selection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No Selection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/>
    </row>
    <row r="6" spans="1:39" x14ac:dyDescent="0.25">
      <c r="A6" s="11"/>
    </row>
    <row r="7" spans="1:39" x14ac:dyDescent="0.25">
      <c r="A7" s="11"/>
    </row>
    <row r="8" spans="1:39" x14ac:dyDescent="0.25">
      <c r="A8" s="11"/>
    </row>
    <row r="9" spans="1:39" x14ac:dyDescent="0.25">
      <c r="A9" s="11"/>
    </row>
    <row r="10" spans="1:39" x14ac:dyDescent="0.25">
      <c r="A10" s="3"/>
    </row>
    <row r="11" spans="1:39" x14ac:dyDescent="0.25">
      <c r="A11" s="3"/>
    </row>
    <row r="12" spans="1:39" x14ac:dyDescent="0.25">
      <c r="A12" s="11"/>
    </row>
    <row r="13" spans="1:39" x14ac:dyDescent="0.25">
      <c r="A13" s="11"/>
    </row>
  </sheetData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AC1:AD1"/>
    <mergeCell ref="Z2:AA2"/>
    <mergeCell ref="AC2:AD2"/>
  </mergeCells>
  <hyperlinks>
    <hyperlink ref="D2:H2" r:id="rId1" display="Click Here to Send CPT Varner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M13"/>
  <sheetViews>
    <sheetView topLeftCell="P1" workbookViewId="0">
      <selection activeCell="AC10" sqref="AC10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10</v>
      </c>
      <c r="B2" s="33"/>
      <c r="D2" s="41" t="s">
        <v>79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No Selection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No Selection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No Selection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No Selection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/>
    </row>
    <row r="6" spans="1:39" x14ac:dyDescent="0.25">
      <c r="A6" s="11"/>
    </row>
    <row r="7" spans="1:39" x14ac:dyDescent="0.25">
      <c r="A7" s="11"/>
    </row>
    <row r="8" spans="1:39" x14ac:dyDescent="0.25">
      <c r="A8" s="11"/>
    </row>
    <row r="9" spans="1:39" x14ac:dyDescent="0.25">
      <c r="A9" s="11"/>
    </row>
    <row r="10" spans="1:39" x14ac:dyDescent="0.25">
      <c r="A10" s="3"/>
    </row>
    <row r="11" spans="1:39" x14ac:dyDescent="0.25">
      <c r="A11" s="3"/>
    </row>
    <row r="12" spans="1:39" x14ac:dyDescent="0.25">
      <c r="A12" s="11"/>
    </row>
    <row r="13" spans="1:39" x14ac:dyDescent="0.25">
      <c r="A13" s="11"/>
    </row>
  </sheetData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AC1:AD1"/>
    <mergeCell ref="Z2:AA2"/>
    <mergeCell ref="AC2:AD2"/>
  </mergeCells>
  <hyperlinks>
    <hyperlink ref="D2:H2" r:id="rId1" display="Click Here to Send Mrs. Smith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M13"/>
  <sheetViews>
    <sheetView workbookViewId="0">
      <selection activeCell="A17" sqref="A17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9</v>
      </c>
      <c r="B2" s="33"/>
      <c r="D2" s="41" t="s">
        <v>80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No Selection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No Selection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No Selection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No Selection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/>
    </row>
    <row r="6" spans="1:39" x14ac:dyDescent="0.25">
      <c r="A6" s="11"/>
    </row>
    <row r="7" spans="1:39" x14ac:dyDescent="0.25">
      <c r="A7" s="11"/>
    </row>
    <row r="8" spans="1:39" x14ac:dyDescent="0.25">
      <c r="A8" s="11"/>
    </row>
    <row r="9" spans="1:39" x14ac:dyDescent="0.25">
      <c r="A9" s="11"/>
    </row>
    <row r="10" spans="1:39" x14ac:dyDescent="0.25">
      <c r="A10" s="3"/>
    </row>
    <row r="11" spans="1:39" x14ac:dyDescent="0.25">
      <c r="A11" s="3"/>
    </row>
    <row r="12" spans="1:39" x14ac:dyDescent="0.25">
      <c r="A12" s="11"/>
    </row>
    <row r="13" spans="1:39" x14ac:dyDescent="0.25">
      <c r="A13" s="11"/>
    </row>
  </sheetData>
  <mergeCells count="18">
    <mergeCell ref="Z1:AA1"/>
    <mergeCell ref="AC1:AD1"/>
    <mergeCell ref="Z2:AA2"/>
    <mergeCell ref="AC2:AD2"/>
    <mergeCell ref="K1:L1"/>
    <mergeCell ref="N1:O1"/>
    <mergeCell ref="Q1:R1"/>
    <mergeCell ref="T1:U1"/>
    <mergeCell ref="W1:X1"/>
    <mergeCell ref="Q2:R2"/>
    <mergeCell ref="T2:U2"/>
    <mergeCell ref="W2:X2"/>
    <mergeCell ref="AK2:AM2"/>
    <mergeCell ref="A3:B3"/>
    <mergeCell ref="A2:B2"/>
    <mergeCell ref="D2:H2"/>
    <mergeCell ref="K2:L2"/>
    <mergeCell ref="N2:O2"/>
  </mergeCells>
  <hyperlinks>
    <hyperlink ref="D2:H2" r:id="rId1" display="Click Here to Send MAJ Vogt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13"/>
  <sheetViews>
    <sheetView workbookViewId="0"/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7</v>
      </c>
      <c r="B2" s="33"/>
      <c r="D2" s="41" t="s">
        <v>81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Connie Tillman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CPT Jordan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CPT Setu Mala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CPT Varner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>
        <v>42381.399386574078</v>
      </c>
      <c r="B5" t="s">
        <v>1</v>
      </c>
      <c r="D5" s="11"/>
    </row>
    <row r="6" spans="1:39" x14ac:dyDescent="0.25">
      <c r="A6" s="11">
        <v>42381.39943287037</v>
      </c>
      <c r="B6" t="s">
        <v>5</v>
      </c>
    </row>
    <row r="7" spans="1:39" x14ac:dyDescent="0.25">
      <c r="A7" s="11">
        <v>42381.399525462963</v>
      </c>
      <c r="B7" t="s">
        <v>8</v>
      </c>
    </row>
    <row r="8" spans="1:39" x14ac:dyDescent="0.25">
      <c r="A8" s="11">
        <v>42381.399629629632</v>
      </c>
      <c r="B8" t="s">
        <v>2</v>
      </c>
    </row>
    <row r="9" spans="1:39" x14ac:dyDescent="0.25">
      <c r="A9" s="11">
        <v>42381.399733796294</v>
      </c>
      <c r="B9" t="s">
        <v>3</v>
      </c>
    </row>
    <row r="10" spans="1:39" x14ac:dyDescent="0.25">
      <c r="A10" s="3"/>
    </row>
    <row r="11" spans="1:39" x14ac:dyDescent="0.25">
      <c r="A11" s="3"/>
    </row>
    <row r="12" spans="1:39" x14ac:dyDescent="0.25">
      <c r="A12" s="11"/>
    </row>
    <row r="13" spans="1:39" x14ac:dyDescent="0.25">
      <c r="A13" s="11"/>
    </row>
  </sheetData>
  <sortState ref="A5:AM5">
    <sortCondition ref="D5"/>
  </sortState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AC1:AD1"/>
    <mergeCell ref="Z2:AA2"/>
    <mergeCell ref="AC2:AD2"/>
  </mergeCells>
  <hyperlinks>
    <hyperlink ref="D2:H2" r:id="rId1" display="Click Here to Send Ms. Baggs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2"/>
  <sheetViews>
    <sheetView workbookViewId="0">
      <selection activeCell="B13" sqref="B13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4</v>
      </c>
      <c r="B2" s="33"/>
      <c r="D2" s="41" t="s">
        <v>82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CPT Varner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Melinda Baggs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Taquisha Edwards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No Selection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>
        <v>42381.39329861111</v>
      </c>
      <c r="B5" t="s">
        <v>8</v>
      </c>
    </row>
    <row r="6" spans="1:39" x14ac:dyDescent="0.25">
      <c r="A6" s="11">
        <v>42381.39340277778</v>
      </c>
      <c r="B6" t="s">
        <v>3</v>
      </c>
    </row>
    <row r="7" spans="1:39" x14ac:dyDescent="0.25">
      <c r="A7" s="11">
        <v>42381.393495370372</v>
      </c>
      <c r="B7" t="s">
        <v>7</v>
      </c>
    </row>
    <row r="8" spans="1:39" x14ac:dyDescent="0.25">
      <c r="A8" s="11">
        <v>42381.393587962964</v>
      </c>
      <c r="B8" t="s">
        <v>6</v>
      </c>
    </row>
    <row r="9" spans="1:39" x14ac:dyDescent="0.25">
      <c r="A9" s="3"/>
    </row>
    <row r="10" spans="1:39" x14ac:dyDescent="0.25">
      <c r="A10" s="3"/>
    </row>
    <row r="11" spans="1:39" x14ac:dyDescent="0.25">
      <c r="A11" s="11"/>
    </row>
    <row r="12" spans="1:39" x14ac:dyDescent="0.25">
      <c r="A12" s="11"/>
    </row>
  </sheetData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AC1:AD1"/>
    <mergeCell ref="Z2:AA2"/>
    <mergeCell ref="AC2:AD2"/>
  </mergeCells>
  <hyperlinks>
    <hyperlink ref="D2:H2" r:id="rId1" display="Click Here to Send Ms. Lyle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13"/>
  <sheetViews>
    <sheetView topLeftCell="K1" workbookViewId="0">
      <selection activeCell="Z1" sqref="Z1:AD2"/>
    </sheetView>
  </sheetViews>
  <sheetFormatPr defaultColWidth="8.85546875" defaultRowHeight="15" x14ac:dyDescent="0.25"/>
  <cols>
    <col min="1" max="1" width="16.42578125" bestFit="1" customWidth="1"/>
    <col min="2" max="2" width="17.7109375" bestFit="1" customWidth="1"/>
    <col min="3" max="3" width="17.7109375" customWidth="1"/>
    <col min="4" max="4" width="16.42578125" customWidth="1"/>
    <col min="5" max="36" width="13.140625" customWidth="1"/>
    <col min="37" max="37" width="27" customWidth="1"/>
    <col min="38" max="38" width="25.42578125" customWidth="1"/>
    <col min="39" max="39" width="30.42578125" customWidth="1"/>
  </cols>
  <sheetData>
    <row r="1" spans="1:39" ht="15.75" thickBot="1" x14ac:dyDescent="0.3">
      <c r="A1" s="2" t="s">
        <v>0</v>
      </c>
      <c r="D1" t="s">
        <v>54</v>
      </c>
      <c r="I1" s="21"/>
      <c r="J1" s="21"/>
      <c r="K1" s="34" t="s">
        <v>62</v>
      </c>
      <c r="L1" s="34"/>
      <c r="N1" s="34" t="s">
        <v>63</v>
      </c>
      <c r="O1" s="34"/>
      <c r="Q1" s="34" t="s">
        <v>64</v>
      </c>
      <c r="R1" s="34"/>
      <c r="T1" s="34" t="s">
        <v>65</v>
      </c>
      <c r="U1" s="34"/>
      <c r="W1" s="34" t="s">
        <v>66</v>
      </c>
      <c r="X1" s="34"/>
      <c r="Z1" s="37" t="s">
        <v>84</v>
      </c>
      <c r="AA1" s="37"/>
      <c r="AC1" s="37" t="s">
        <v>85</v>
      </c>
      <c r="AD1" s="37"/>
    </row>
    <row r="2" spans="1:39" ht="27" thickBot="1" x14ac:dyDescent="0.45">
      <c r="A2" s="32" t="s">
        <v>6</v>
      </c>
      <c r="B2" s="33"/>
      <c r="D2" s="41" t="s">
        <v>83</v>
      </c>
      <c r="E2" s="42"/>
      <c r="F2" s="42"/>
      <c r="G2" s="42"/>
      <c r="H2" s="43"/>
      <c r="I2" s="22"/>
      <c r="J2" s="23"/>
      <c r="K2" s="35" t="str">
        <f ca="1">IF(LOOKUP(2,1/(1-ISBLANK($D:$D)),$D:$D) = "Date", IF(OFFSET(INDIRECT("$D"&amp;COUNTA($D:$D)),3,-2) = 0, "No Selection",OFFSET(INDIRECT("$D"&amp;COUNTA($D:$D)),3,-2)), IF(OFFSET(INDIRECT("$D"&amp;COUNTA($D:$D)),3,-2) = 0, "No Selection",OFFSET(INDIRECT("$D"&amp;COUNTA($D:$D)),3,-2)))</f>
        <v>No Selection</v>
      </c>
      <c r="L2" s="36"/>
      <c r="N2" s="35" t="str">
        <f ca="1">IF(LOOKUP(2,1/(1-ISBLANK($D:$D)),$D:$D) = "Date", IF(OFFSET(INDIRECT("$D"&amp;COUNTA($D:$D)),4,-2) = 0, "No Selection",OFFSET(INDIRECT("$D"&amp;COUNTA($D:$D)),4,-2)), IF(OFFSET(INDIRECT("$D"&amp;COUNTA($D:$D)),4,-2) = 0, "No Selection",OFFSET(INDIRECT("$D"&amp;COUNTA($D:$D)),4,-2)))</f>
        <v>No Selection</v>
      </c>
      <c r="O2" s="36"/>
      <c r="Q2" s="35" t="str">
        <f ca="1">IF(LOOKUP(2,1/(1-ISBLANK($D:$D)),$D:$D) = "Date", IF(OFFSET(INDIRECT("$D"&amp;COUNTA($D:$D)),5,-2) = 0, "No Selection",OFFSET(INDIRECT("$D"&amp;COUNTA($D:$D)),5,-2)), IF(OFFSET(INDIRECT("$D"&amp;COUNTA($D:$D)),5,-2) = 0, "No Selection",OFFSET(INDIRECT("$D"&amp;COUNTA($D:$D)),5,-2)))</f>
        <v>No Selection</v>
      </c>
      <c r="R2" s="36"/>
      <c r="T2" s="35" t="str">
        <f ca="1">IF(LOOKUP(2,1/(1-ISBLANK($D:$D)),$D:$D) = "Date", IF(OFFSET(INDIRECT("$D"&amp;COUNTA($D:$D)),6,-2) = 0, "No Selection",OFFSET(INDIRECT("$D"&amp;COUNTA($D:$D)),6,-2)), IF(OFFSET(INDIRECT("$D"&amp;COUNTA($D:$D)),6,-2) = 0, "No Selection",OFFSET(INDIRECT("$D"&amp;COUNTA($D:$D)),6,-2)))</f>
        <v>No Selection</v>
      </c>
      <c r="U2" s="36"/>
      <c r="W2" s="35" t="str">
        <f ca="1">IF(LOOKUP(2,1/(1-ISBLANK($D:$D)),$D:$D) = "Date", IF(OFFSET(INDIRECT("$D"&amp;COUNTA($D:$D)),7,-2) = 0, "No Selection",OFFSET(INDIRECT("$D"&amp;COUNTA($D:$D)),7,-2)), IF(OFFSET(INDIRECT("$D"&amp;COUNTA($D:$D)),7,-2) = 0, "No Selection",OFFSET(INDIRECT("$D"&amp;COUNTA($D:$D)),7,-2)))</f>
        <v>No Selection</v>
      </c>
      <c r="X2" s="36"/>
      <c r="Z2" s="38"/>
      <c r="AA2" s="39"/>
      <c r="AC2" s="38"/>
      <c r="AD2" s="39"/>
      <c r="AK2" s="29" t="s">
        <v>60</v>
      </c>
      <c r="AL2" s="30"/>
      <c r="AM2" s="31"/>
    </row>
    <row r="3" spans="1:39" x14ac:dyDescent="0.25">
      <c r="A3" s="40" t="s">
        <v>61</v>
      </c>
      <c r="B3" s="40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</row>
    <row r="4" spans="1:39" s="5" customFormat="1" x14ac:dyDescent="0.25">
      <c r="A4" s="5" t="s">
        <v>12</v>
      </c>
      <c r="B4" s="5" t="s">
        <v>13</v>
      </c>
      <c r="D4" s="5" t="s">
        <v>12</v>
      </c>
      <c r="E4" s="5" t="s">
        <v>17</v>
      </c>
      <c r="F4" s="5" t="s">
        <v>22</v>
      </c>
      <c r="G4" s="5" t="s">
        <v>21</v>
      </c>
      <c r="H4" s="5" t="s">
        <v>27</v>
      </c>
      <c r="I4" s="5" t="s">
        <v>18</v>
      </c>
      <c r="J4" s="5" t="s">
        <v>28</v>
      </c>
      <c r="K4" s="5" t="s">
        <v>29</v>
      </c>
      <c r="L4" s="5" t="s">
        <v>30</v>
      </c>
      <c r="M4" s="5" t="s">
        <v>31</v>
      </c>
      <c r="N4" s="5" t="s">
        <v>32</v>
      </c>
      <c r="O4" s="5" t="s">
        <v>33</v>
      </c>
      <c r="P4" s="5" t="s">
        <v>34</v>
      </c>
      <c r="Q4" s="5" t="s">
        <v>19</v>
      </c>
      <c r="R4" s="5" t="s">
        <v>35</v>
      </c>
      <c r="S4" s="5" t="s">
        <v>36</v>
      </c>
      <c r="T4" s="5" t="s">
        <v>37</v>
      </c>
      <c r="U4" s="5" t="s">
        <v>20</v>
      </c>
      <c r="V4" s="5" t="s">
        <v>38</v>
      </c>
      <c r="W4" s="5" t="s">
        <v>39</v>
      </c>
      <c r="X4" s="5" t="s">
        <v>40</v>
      </c>
      <c r="Y4" s="5" t="s">
        <v>41</v>
      </c>
      <c r="Z4" s="5" t="s">
        <v>42</v>
      </c>
      <c r="AA4" s="5" t="s">
        <v>43</v>
      </c>
      <c r="AB4" s="5" t="s">
        <v>44</v>
      </c>
      <c r="AC4" s="5" t="s">
        <v>45</v>
      </c>
      <c r="AD4" s="5" t="s">
        <v>46</v>
      </c>
      <c r="AE4" s="5" t="s">
        <v>47</v>
      </c>
      <c r="AF4" s="5" t="s">
        <v>48</v>
      </c>
      <c r="AG4" s="5" t="s">
        <v>49</v>
      </c>
      <c r="AH4" s="5" t="s">
        <v>50</v>
      </c>
      <c r="AI4" s="5" t="s">
        <v>51</v>
      </c>
      <c r="AJ4" s="5" t="s">
        <v>52</v>
      </c>
      <c r="AK4" s="13" t="s">
        <v>16</v>
      </c>
      <c r="AL4" s="14" t="s">
        <v>53</v>
      </c>
      <c r="AM4" s="12" t="s">
        <v>59</v>
      </c>
    </row>
    <row r="5" spans="1:39" x14ac:dyDescent="0.25">
      <c r="A5" s="11"/>
    </row>
    <row r="6" spans="1:39" x14ac:dyDescent="0.25">
      <c r="A6" s="11"/>
    </row>
    <row r="7" spans="1:39" x14ac:dyDescent="0.25">
      <c r="A7" s="11"/>
    </row>
    <row r="8" spans="1:39" x14ac:dyDescent="0.25">
      <c r="A8" s="11"/>
    </row>
    <row r="9" spans="1:39" x14ac:dyDescent="0.25">
      <c r="A9" s="11"/>
    </row>
    <row r="10" spans="1:39" x14ac:dyDescent="0.25">
      <c r="A10" s="3"/>
    </row>
    <row r="11" spans="1:39" x14ac:dyDescent="0.25">
      <c r="A11" s="3"/>
    </row>
    <row r="12" spans="1:39" x14ac:dyDescent="0.25">
      <c r="A12" s="11"/>
    </row>
    <row r="13" spans="1:39" x14ac:dyDescent="0.25">
      <c r="A13" s="11"/>
    </row>
  </sheetData>
  <mergeCells count="18">
    <mergeCell ref="A3:B3"/>
    <mergeCell ref="D2:H2"/>
    <mergeCell ref="K2:L2"/>
    <mergeCell ref="N2:O2"/>
    <mergeCell ref="K1:L1"/>
    <mergeCell ref="N1:O1"/>
    <mergeCell ref="AK2:AM2"/>
    <mergeCell ref="A2:B2"/>
    <mergeCell ref="Q1:R1"/>
    <mergeCell ref="T1:U1"/>
    <mergeCell ref="W1:X1"/>
    <mergeCell ref="Q2:R2"/>
    <mergeCell ref="T2:U2"/>
    <mergeCell ref="W2:X2"/>
    <mergeCell ref="Z1:AA1"/>
    <mergeCell ref="AC1:AD1"/>
    <mergeCell ref="Z2:AA2"/>
    <mergeCell ref="AC2:AD2"/>
  </mergeCells>
  <hyperlinks>
    <hyperlink ref="D2:H2" r:id="rId1" display="Ckick Here to Send Ms. Edwards an Email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I1:P319"/>
  <sheetViews>
    <sheetView tabSelected="1" workbookViewId="0">
      <selection activeCell="I2" sqref="I2"/>
    </sheetView>
  </sheetViews>
  <sheetFormatPr defaultColWidth="8.85546875" defaultRowHeight="15" x14ac:dyDescent="0.25"/>
  <cols>
    <col min="1" max="16384" width="8.85546875" style="27"/>
  </cols>
  <sheetData>
    <row r="1" spans="9:16" s="28" customFormat="1" ht="12.95" customHeight="1" x14ac:dyDescent="0.25"/>
    <row r="2" spans="9:16" s="28" customFormat="1" x14ac:dyDescent="0.25"/>
    <row r="3" spans="9:16" s="28" customFormat="1" x14ac:dyDescent="0.25"/>
    <row r="4" spans="9:16" s="28" customFormat="1" x14ac:dyDescent="0.25"/>
    <row r="5" spans="9:16" s="28" customFormat="1" x14ac:dyDescent="0.25"/>
    <row r="6" spans="9:16" s="28" customFormat="1" x14ac:dyDescent="0.25"/>
    <row r="7" spans="9:16" s="28" customFormat="1" x14ac:dyDescent="0.25"/>
    <row r="8" spans="9:16" s="28" customFormat="1" x14ac:dyDescent="0.25"/>
    <row r="9" spans="9:16" s="28" customFormat="1" x14ac:dyDescent="0.25"/>
    <row r="10" spans="9:16" s="28" customFormat="1" ht="14.1" customHeight="1" x14ac:dyDescent="0.25">
      <c r="I10" s="47" t="s">
        <v>68</v>
      </c>
      <c r="J10" s="47"/>
      <c r="K10" s="47"/>
      <c r="L10" s="47"/>
      <c r="M10" s="47"/>
      <c r="N10" s="47"/>
      <c r="O10" s="47"/>
      <c r="P10" s="47"/>
    </row>
    <row r="11" spans="9:16" s="28" customFormat="1" ht="14.1" customHeight="1" x14ac:dyDescent="0.25">
      <c r="I11" s="47"/>
      <c r="J11" s="47"/>
      <c r="K11" s="47"/>
      <c r="L11" s="47"/>
      <c r="M11" s="47"/>
      <c r="N11" s="47"/>
      <c r="O11" s="47"/>
      <c r="P11" s="47"/>
    </row>
    <row r="12" spans="9:16" s="28" customFormat="1" ht="14.1" customHeight="1" x14ac:dyDescent="0.25">
      <c r="I12" s="47"/>
      <c r="J12" s="47"/>
      <c r="K12" s="47"/>
      <c r="L12" s="47"/>
      <c r="M12" s="47"/>
      <c r="N12" s="47"/>
      <c r="O12" s="47"/>
      <c r="P12" s="47"/>
    </row>
    <row r="13" spans="9:16" s="28" customFormat="1" ht="14.1" customHeight="1" x14ac:dyDescent="0.25">
      <c r="I13" s="47"/>
      <c r="J13" s="47"/>
      <c r="K13" s="47"/>
      <c r="L13" s="47"/>
      <c r="M13" s="47"/>
      <c r="N13" s="47"/>
      <c r="O13" s="47"/>
      <c r="P13" s="47"/>
    </row>
    <row r="14" spans="9:16" s="28" customFormat="1" ht="14.1" customHeight="1" x14ac:dyDescent="0.25">
      <c r="I14" s="47"/>
      <c r="J14" s="47"/>
      <c r="K14" s="47"/>
      <c r="L14" s="47"/>
      <c r="M14" s="47"/>
      <c r="N14" s="47"/>
      <c r="O14" s="47"/>
      <c r="P14" s="47"/>
    </row>
    <row r="15" spans="9:16" s="28" customFormat="1" x14ac:dyDescent="0.25"/>
    <row r="16" spans="9:16" s="28" customFormat="1" x14ac:dyDescent="0.25"/>
    <row r="17" s="28" customFormat="1" x14ac:dyDescent="0.25"/>
    <row r="18" s="28" customFormat="1" x14ac:dyDescent="0.25"/>
    <row r="19" s="28" customFormat="1" x14ac:dyDescent="0.25"/>
    <row r="20" s="28" customFormat="1" x14ac:dyDescent="0.25"/>
    <row r="21" s="28" customFormat="1" x14ac:dyDescent="0.25"/>
    <row r="22" s="28" customFormat="1" x14ac:dyDescent="0.25"/>
    <row r="23" s="28" customFormat="1" x14ac:dyDescent="0.25"/>
    <row r="24" s="28" customFormat="1" x14ac:dyDescent="0.25"/>
    <row r="25" s="28" customFormat="1" x14ac:dyDescent="0.25"/>
    <row r="26" s="28" customFormat="1" x14ac:dyDescent="0.25"/>
    <row r="27" s="28" customFormat="1" x14ac:dyDescent="0.25"/>
    <row r="28" s="28" customFormat="1" x14ac:dyDescent="0.25"/>
    <row r="29" s="28" customFormat="1" x14ac:dyDescent="0.25"/>
    <row r="30" s="28" customFormat="1" x14ac:dyDescent="0.25"/>
    <row r="31" s="28" customFormat="1" x14ac:dyDescent="0.25"/>
    <row r="32" s="28" customFormat="1" x14ac:dyDescent="0.25"/>
    <row r="33" s="28" customFormat="1" x14ac:dyDescent="0.25"/>
    <row r="34" s="28" customFormat="1" x14ac:dyDescent="0.25"/>
    <row r="35" s="28" customFormat="1" x14ac:dyDescent="0.25"/>
    <row r="36" s="28" customFormat="1" x14ac:dyDescent="0.25"/>
    <row r="37" s="28" customFormat="1" x14ac:dyDescent="0.25"/>
    <row r="38" s="28" customFormat="1" x14ac:dyDescent="0.25"/>
    <row r="39" s="28" customFormat="1" x14ac:dyDescent="0.25"/>
    <row r="40" s="28" customFormat="1" x14ac:dyDescent="0.25"/>
    <row r="41" s="28" customFormat="1" x14ac:dyDescent="0.25"/>
    <row r="42" s="28" customFormat="1" x14ac:dyDescent="0.25"/>
    <row r="43" s="28" customFormat="1" x14ac:dyDescent="0.25"/>
    <row r="44" s="28" customFormat="1" x14ac:dyDescent="0.25"/>
    <row r="45" s="28" customFormat="1" x14ac:dyDescent="0.25"/>
    <row r="46" s="28" customFormat="1" x14ac:dyDescent="0.25"/>
    <row r="47" s="28" customFormat="1" x14ac:dyDescent="0.25"/>
    <row r="48" s="28" customFormat="1" x14ac:dyDescent="0.25"/>
    <row r="49" s="28" customFormat="1" x14ac:dyDescent="0.25"/>
    <row r="50" s="28" customFormat="1" x14ac:dyDescent="0.25"/>
    <row r="51" s="28" customFormat="1" x14ac:dyDescent="0.25"/>
    <row r="52" s="28" customFormat="1" x14ac:dyDescent="0.25"/>
    <row r="53" s="28" customFormat="1" x14ac:dyDescent="0.25"/>
    <row r="54" s="28" customFormat="1" x14ac:dyDescent="0.25"/>
    <row r="55" s="28" customFormat="1" x14ac:dyDescent="0.25"/>
    <row r="56" s="28" customFormat="1" x14ac:dyDescent="0.25"/>
    <row r="57" s="28" customFormat="1" x14ac:dyDescent="0.25"/>
    <row r="58" s="28" customFormat="1" x14ac:dyDescent="0.25"/>
    <row r="59" s="28" customFormat="1" x14ac:dyDescent="0.25"/>
    <row r="60" s="28" customFormat="1" x14ac:dyDescent="0.25"/>
    <row r="61" s="28" customFormat="1" x14ac:dyDescent="0.25"/>
    <row r="62" s="28" customFormat="1" x14ac:dyDescent="0.25"/>
    <row r="63" s="28" customFormat="1" x14ac:dyDescent="0.25"/>
    <row r="64" s="28" customFormat="1" x14ac:dyDescent="0.25"/>
    <row r="65" s="28" customFormat="1" x14ac:dyDescent="0.25"/>
    <row r="66" s="28" customFormat="1" x14ac:dyDescent="0.25"/>
    <row r="67" s="28" customFormat="1" x14ac:dyDescent="0.25"/>
    <row r="68" s="28" customFormat="1" x14ac:dyDescent="0.25"/>
    <row r="69" s="28" customFormat="1" x14ac:dyDescent="0.25"/>
    <row r="70" s="28" customFormat="1" x14ac:dyDescent="0.25"/>
    <row r="71" s="28" customFormat="1" x14ac:dyDescent="0.25"/>
    <row r="72" s="28" customFormat="1" x14ac:dyDescent="0.25"/>
    <row r="73" s="28" customFormat="1" x14ac:dyDescent="0.25"/>
    <row r="74" s="28" customFormat="1" x14ac:dyDescent="0.25"/>
    <row r="75" s="28" customFormat="1" x14ac:dyDescent="0.25"/>
    <row r="76" s="28" customFormat="1" x14ac:dyDescent="0.25"/>
    <row r="77" s="28" customFormat="1" x14ac:dyDescent="0.25"/>
    <row r="78" s="28" customFormat="1" x14ac:dyDescent="0.25"/>
    <row r="79" s="28" customFormat="1" x14ac:dyDescent="0.25"/>
    <row r="80" s="28" customFormat="1" x14ac:dyDescent="0.25"/>
    <row r="81" s="28" customFormat="1" x14ac:dyDescent="0.25"/>
    <row r="82" s="28" customFormat="1" x14ac:dyDescent="0.25"/>
    <row r="83" s="28" customFormat="1" x14ac:dyDescent="0.25"/>
    <row r="84" s="28" customFormat="1" x14ac:dyDescent="0.25"/>
    <row r="85" s="28" customFormat="1" x14ac:dyDescent="0.25"/>
    <row r="86" s="28" customFormat="1" x14ac:dyDescent="0.25"/>
    <row r="87" s="28" customFormat="1" x14ac:dyDescent="0.25"/>
    <row r="88" s="28" customFormat="1" x14ac:dyDescent="0.25"/>
    <row r="89" s="28" customFormat="1" x14ac:dyDescent="0.25"/>
    <row r="90" s="28" customFormat="1" x14ac:dyDescent="0.25"/>
    <row r="91" s="28" customFormat="1" x14ac:dyDescent="0.25"/>
    <row r="92" s="28" customFormat="1" x14ac:dyDescent="0.25"/>
    <row r="93" s="28" customFormat="1" x14ac:dyDescent="0.25"/>
    <row r="94" s="28" customFormat="1" x14ac:dyDescent="0.25"/>
    <row r="95" s="28" customFormat="1" x14ac:dyDescent="0.25"/>
    <row r="96" s="28" customFormat="1" x14ac:dyDescent="0.25"/>
    <row r="97" s="28" customFormat="1" x14ac:dyDescent="0.25"/>
    <row r="98" s="28" customFormat="1" x14ac:dyDescent="0.25"/>
    <row r="99" s="28" customFormat="1" x14ac:dyDescent="0.25"/>
    <row r="100" s="28" customFormat="1" x14ac:dyDescent="0.25"/>
    <row r="101" s="28" customFormat="1" x14ac:dyDescent="0.25"/>
    <row r="102" s="28" customFormat="1" x14ac:dyDescent="0.25"/>
    <row r="103" s="28" customFormat="1" x14ac:dyDescent="0.25"/>
    <row r="104" s="28" customFormat="1" x14ac:dyDescent="0.25"/>
    <row r="105" s="28" customFormat="1" x14ac:dyDescent="0.25"/>
    <row r="106" s="28" customFormat="1" x14ac:dyDescent="0.25"/>
    <row r="107" s="28" customFormat="1" x14ac:dyDescent="0.25"/>
    <row r="108" s="28" customFormat="1" x14ac:dyDescent="0.25"/>
    <row r="109" s="28" customFormat="1" x14ac:dyDescent="0.25"/>
    <row r="110" s="28" customFormat="1" x14ac:dyDescent="0.25"/>
    <row r="111" s="28" customFormat="1" x14ac:dyDescent="0.25"/>
    <row r="112" s="28" customFormat="1" x14ac:dyDescent="0.25"/>
    <row r="113" s="28" customFormat="1" x14ac:dyDescent="0.25"/>
    <row r="114" s="28" customFormat="1" x14ac:dyDescent="0.25"/>
    <row r="115" s="28" customFormat="1" x14ac:dyDescent="0.25"/>
    <row r="116" s="28" customFormat="1" x14ac:dyDescent="0.25"/>
    <row r="117" s="28" customFormat="1" x14ac:dyDescent="0.25"/>
    <row r="118" s="28" customFormat="1" x14ac:dyDescent="0.25"/>
    <row r="119" s="28" customFormat="1" x14ac:dyDescent="0.25"/>
    <row r="120" s="28" customFormat="1" x14ac:dyDescent="0.25"/>
    <row r="121" s="28" customFormat="1" x14ac:dyDescent="0.25"/>
    <row r="122" s="28" customFormat="1" x14ac:dyDescent="0.25"/>
    <row r="123" s="28" customFormat="1" x14ac:dyDescent="0.25"/>
    <row r="124" s="28" customFormat="1" x14ac:dyDescent="0.25"/>
    <row r="125" s="28" customFormat="1" x14ac:dyDescent="0.25"/>
    <row r="126" s="28" customFormat="1" x14ac:dyDescent="0.25"/>
    <row r="127" s="28" customFormat="1" x14ac:dyDescent="0.25"/>
    <row r="128" s="28" customFormat="1" x14ac:dyDescent="0.25"/>
    <row r="129" s="28" customFormat="1" x14ac:dyDescent="0.25"/>
    <row r="130" s="28" customFormat="1" x14ac:dyDescent="0.25"/>
    <row r="131" s="28" customFormat="1" x14ac:dyDescent="0.25"/>
    <row r="132" s="28" customFormat="1" x14ac:dyDescent="0.25"/>
    <row r="133" s="28" customFormat="1" x14ac:dyDescent="0.25"/>
    <row r="134" s="28" customFormat="1" x14ac:dyDescent="0.25"/>
    <row r="135" s="28" customFormat="1" x14ac:dyDescent="0.25"/>
    <row r="136" s="28" customFormat="1" x14ac:dyDescent="0.25"/>
    <row r="137" s="28" customFormat="1" x14ac:dyDescent="0.25"/>
    <row r="138" s="28" customFormat="1" x14ac:dyDescent="0.25"/>
    <row r="139" s="28" customFormat="1" x14ac:dyDescent="0.25"/>
    <row r="140" s="28" customFormat="1" x14ac:dyDescent="0.25"/>
    <row r="141" s="28" customFormat="1" x14ac:dyDescent="0.25"/>
    <row r="142" s="28" customFormat="1" x14ac:dyDescent="0.25"/>
    <row r="143" s="28" customFormat="1" x14ac:dyDescent="0.25"/>
    <row r="144" s="28" customFormat="1" x14ac:dyDescent="0.25"/>
    <row r="145" s="28" customFormat="1" x14ac:dyDescent="0.25"/>
    <row r="146" s="28" customFormat="1" x14ac:dyDescent="0.25"/>
    <row r="147" s="28" customFormat="1" x14ac:dyDescent="0.25"/>
    <row r="148" s="28" customFormat="1" x14ac:dyDescent="0.25"/>
    <row r="149" s="28" customFormat="1" x14ac:dyDescent="0.25"/>
    <row r="150" s="28" customFormat="1" x14ac:dyDescent="0.25"/>
    <row r="151" s="28" customFormat="1" x14ac:dyDescent="0.25"/>
    <row r="152" s="28" customFormat="1" x14ac:dyDescent="0.25"/>
    <row r="153" s="28" customFormat="1" x14ac:dyDescent="0.25"/>
    <row r="154" s="28" customFormat="1" x14ac:dyDescent="0.25"/>
    <row r="155" s="28" customFormat="1" x14ac:dyDescent="0.25"/>
    <row r="156" s="28" customFormat="1" x14ac:dyDescent="0.25"/>
    <row r="157" s="28" customFormat="1" x14ac:dyDescent="0.25"/>
    <row r="158" s="28" customFormat="1" x14ac:dyDescent="0.25"/>
    <row r="159" s="28" customFormat="1" x14ac:dyDescent="0.25"/>
    <row r="160" s="28" customFormat="1" x14ac:dyDescent="0.25"/>
    <row r="161" s="28" customFormat="1" x14ac:dyDescent="0.25"/>
    <row r="162" s="28" customFormat="1" x14ac:dyDescent="0.25"/>
    <row r="163" s="28" customFormat="1" x14ac:dyDescent="0.25"/>
    <row r="164" s="28" customFormat="1" x14ac:dyDescent="0.25"/>
    <row r="165" s="28" customFormat="1" x14ac:dyDescent="0.25"/>
    <row r="166" s="28" customFormat="1" x14ac:dyDescent="0.25"/>
    <row r="167" s="28" customFormat="1" x14ac:dyDescent="0.25"/>
    <row r="168" s="28" customFormat="1" x14ac:dyDescent="0.25"/>
    <row r="169" s="28" customFormat="1" x14ac:dyDescent="0.25"/>
    <row r="170" s="28" customFormat="1" x14ac:dyDescent="0.25"/>
    <row r="171" s="28" customFormat="1" x14ac:dyDescent="0.25"/>
    <row r="172" s="28" customFormat="1" x14ac:dyDescent="0.25"/>
    <row r="173" s="28" customFormat="1" x14ac:dyDescent="0.25"/>
    <row r="174" s="28" customFormat="1" x14ac:dyDescent="0.25"/>
    <row r="175" s="28" customFormat="1" x14ac:dyDescent="0.25"/>
    <row r="176" s="28" customFormat="1" x14ac:dyDescent="0.25"/>
    <row r="177" s="28" customFormat="1" x14ac:dyDescent="0.25"/>
    <row r="178" s="28" customFormat="1" x14ac:dyDescent="0.25"/>
    <row r="179" s="28" customFormat="1" x14ac:dyDescent="0.25"/>
    <row r="180" s="28" customFormat="1" x14ac:dyDescent="0.25"/>
    <row r="181" s="28" customFormat="1" x14ac:dyDescent="0.25"/>
    <row r="182" s="28" customFormat="1" x14ac:dyDescent="0.25"/>
    <row r="183" s="28" customFormat="1" x14ac:dyDescent="0.25"/>
    <row r="184" s="28" customFormat="1" x14ac:dyDescent="0.25"/>
    <row r="185" s="28" customFormat="1" x14ac:dyDescent="0.25"/>
    <row r="186" s="28" customFormat="1" x14ac:dyDescent="0.25"/>
    <row r="187" s="28" customFormat="1" x14ac:dyDescent="0.25"/>
    <row r="188" s="28" customFormat="1" x14ac:dyDescent="0.25"/>
    <row r="189" s="28" customFormat="1" x14ac:dyDescent="0.25"/>
    <row r="190" s="28" customFormat="1" x14ac:dyDescent="0.25"/>
    <row r="191" s="28" customFormat="1" x14ac:dyDescent="0.25"/>
    <row r="192" s="28" customFormat="1" x14ac:dyDescent="0.25"/>
    <row r="193" s="28" customFormat="1" x14ac:dyDescent="0.25"/>
    <row r="194" s="28" customFormat="1" x14ac:dyDescent="0.25"/>
    <row r="195" s="28" customFormat="1" x14ac:dyDescent="0.25"/>
    <row r="196" s="28" customFormat="1" x14ac:dyDescent="0.25"/>
    <row r="197" s="28" customFormat="1" x14ac:dyDescent="0.25"/>
    <row r="198" s="28" customFormat="1" x14ac:dyDescent="0.25"/>
    <row r="199" s="28" customFormat="1" x14ac:dyDescent="0.25"/>
    <row r="200" s="28" customFormat="1" x14ac:dyDescent="0.25"/>
    <row r="201" s="28" customFormat="1" x14ac:dyDescent="0.25"/>
    <row r="202" s="28" customFormat="1" x14ac:dyDescent="0.25"/>
    <row r="203" s="28" customFormat="1" x14ac:dyDescent="0.25"/>
    <row r="204" s="28" customFormat="1" x14ac:dyDescent="0.25"/>
    <row r="205" s="28" customFormat="1" x14ac:dyDescent="0.25"/>
    <row r="206" s="28" customFormat="1" x14ac:dyDescent="0.25"/>
    <row r="207" s="28" customFormat="1" x14ac:dyDescent="0.25"/>
    <row r="208" s="28" customFormat="1" x14ac:dyDescent="0.25"/>
    <row r="209" s="28" customFormat="1" x14ac:dyDescent="0.25"/>
    <row r="210" s="28" customFormat="1" x14ac:dyDescent="0.25"/>
    <row r="211" s="28" customFormat="1" x14ac:dyDescent="0.25"/>
    <row r="212" s="28" customFormat="1" x14ac:dyDescent="0.25"/>
    <row r="213" s="28" customFormat="1" x14ac:dyDescent="0.25"/>
    <row r="214" s="28" customFormat="1" x14ac:dyDescent="0.25"/>
    <row r="215" s="28" customFormat="1" x14ac:dyDescent="0.25"/>
    <row r="216" s="28" customFormat="1" x14ac:dyDescent="0.25"/>
    <row r="217" s="28" customFormat="1" x14ac:dyDescent="0.25"/>
    <row r="218" s="28" customFormat="1" x14ac:dyDescent="0.25"/>
    <row r="219" s="28" customFormat="1" x14ac:dyDescent="0.25"/>
    <row r="220" s="28" customFormat="1" x14ac:dyDescent="0.25"/>
    <row r="221" s="28" customFormat="1" x14ac:dyDescent="0.25"/>
    <row r="222" s="28" customFormat="1" x14ac:dyDescent="0.25"/>
    <row r="223" s="28" customFormat="1" x14ac:dyDescent="0.25"/>
    <row r="224" s="28" customFormat="1" x14ac:dyDescent="0.25"/>
    <row r="225" s="28" customFormat="1" x14ac:dyDescent="0.25"/>
    <row r="226" s="28" customFormat="1" x14ac:dyDescent="0.25"/>
    <row r="227" s="28" customFormat="1" x14ac:dyDescent="0.25"/>
    <row r="228" s="28" customFormat="1" x14ac:dyDescent="0.25"/>
    <row r="229" s="28" customFormat="1" x14ac:dyDescent="0.25"/>
    <row r="230" s="28" customFormat="1" x14ac:dyDescent="0.25"/>
    <row r="231" s="28" customFormat="1" x14ac:dyDescent="0.25"/>
    <row r="232" s="28" customFormat="1" x14ac:dyDescent="0.25"/>
    <row r="233" s="28" customFormat="1" x14ac:dyDescent="0.25"/>
    <row r="234" s="28" customFormat="1" x14ac:dyDescent="0.25"/>
    <row r="235" s="28" customFormat="1" x14ac:dyDescent="0.25"/>
    <row r="236" s="28" customFormat="1" x14ac:dyDescent="0.25"/>
    <row r="237" s="28" customFormat="1" x14ac:dyDescent="0.25"/>
    <row r="238" s="28" customFormat="1" x14ac:dyDescent="0.25"/>
    <row r="239" s="28" customFormat="1" x14ac:dyDescent="0.25"/>
    <row r="240" s="28" customFormat="1" x14ac:dyDescent="0.25"/>
    <row r="241" s="28" customFormat="1" x14ac:dyDescent="0.25"/>
    <row r="242" s="28" customFormat="1" x14ac:dyDescent="0.25"/>
    <row r="243" s="28" customFormat="1" x14ac:dyDescent="0.25"/>
    <row r="244" s="28" customFormat="1" x14ac:dyDescent="0.25"/>
    <row r="245" s="28" customFormat="1" x14ac:dyDescent="0.25"/>
    <row r="246" s="28" customFormat="1" x14ac:dyDescent="0.25"/>
    <row r="247" s="28" customFormat="1" x14ac:dyDescent="0.25"/>
    <row r="248" s="28" customFormat="1" x14ac:dyDescent="0.25"/>
    <row r="249" s="28" customFormat="1" x14ac:dyDescent="0.25"/>
    <row r="250" s="28" customFormat="1" x14ac:dyDescent="0.25"/>
    <row r="251" s="28" customFormat="1" x14ac:dyDescent="0.25"/>
    <row r="252" s="28" customFormat="1" x14ac:dyDescent="0.25"/>
    <row r="253" s="28" customFormat="1" x14ac:dyDescent="0.25"/>
    <row r="254" s="28" customFormat="1" x14ac:dyDescent="0.25"/>
    <row r="255" s="28" customFormat="1" x14ac:dyDescent="0.25"/>
    <row r="256" s="28" customFormat="1" x14ac:dyDescent="0.25"/>
    <row r="257" s="28" customFormat="1" x14ac:dyDescent="0.25"/>
    <row r="258" s="28" customFormat="1" x14ac:dyDescent="0.25"/>
    <row r="259" s="28" customFormat="1" x14ac:dyDescent="0.25"/>
    <row r="260" s="28" customFormat="1" x14ac:dyDescent="0.25"/>
    <row r="261" s="28" customFormat="1" x14ac:dyDescent="0.25"/>
    <row r="262" s="28" customFormat="1" x14ac:dyDescent="0.25"/>
    <row r="263" s="28" customFormat="1" x14ac:dyDescent="0.25"/>
    <row r="264" s="28" customFormat="1" x14ac:dyDescent="0.25"/>
    <row r="265" s="28" customFormat="1" x14ac:dyDescent="0.25"/>
    <row r="266" s="28" customFormat="1" x14ac:dyDescent="0.25"/>
    <row r="267" s="28" customFormat="1" x14ac:dyDescent="0.25"/>
    <row r="268" s="28" customFormat="1" x14ac:dyDescent="0.25"/>
    <row r="269" s="28" customFormat="1" x14ac:dyDescent="0.25"/>
    <row r="270" s="28" customFormat="1" x14ac:dyDescent="0.25"/>
    <row r="271" s="28" customFormat="1" x14ac:dyDescent="0.25"/>
    <row r="272" s="28" customFormat="1" x14ac:dyDescent="0.25"/>
    <row r="273" s="28" customFormat="1" x14ac:dyDescent="0.25"/>
    <row r="274" s="28" customFormat="1" x14ac:dyDescent="0.25"/>
    <row r="275" s="28" customFormat="1" x14ac:dyDescent="0.25"/>
    <row r="276" s="28" customFormat="1" x14ac:dyDescent="0.25"/>
    <row r="277" s="28" customFormat="1" x14ac:dyDescent="0.25"/>
    <row r="278" s="28" customFormat="1" x14ac:dyDescent="0.25"/>
    <row r="279" s="28" customFormat="1" x14ac:dyDescent="0.25"/>
    <row r="280" s="28" customFormat="1" x14ac:dyDescent="0.25"/>
    <row r="281" s="28" customFormat="1" x14ac:dyDescent="0.25"/>
    <row r="282" s="28" customFormat="1" x14ac:dyDescent="0.25"/>
    <row r="283" s="28" customFormat="1" x14ac:dyDescent="0.25"/>
    <row r="284" s="28" customFormat="1" x14ac:dyDescent="0.25"/>
    <row r="285" s="28" customFormat="1" x14ac:dyDescent="0.25"/>
    <row r="286" s="28" customFormat="1" x14ac:dyDescent="0.25"/>
    <row r="287" s="28" customFormat="1" x14ac:dyDescent="0.25"/>
    <row r="288" s="28" customFormat="1" x14ac:dyDescent="0.25"/>
    <row r="289" s="28" customFormat="1" x14ac:dyDescent="0.25"/>
    <row r="290" s="28" customFormat="1" x14ac:dyDescent="0.25"/>
    <row r="291" s="28" customFormat="1" x14ac:dyDescent="0.25"/>
    <row r="292" s="28" customFormat="1" x14ac:dyDescent="0.25"/>
    <row r="293" s="28" customFormat="1" x14ac:dyDescent="0.25"/>
    <row r="294" s="28" customFormat="1" x14ac:dyDescent="0.25"/>
    <row r="295" s="28" customFormat="1" x14ac:dyDescent="0.25"/>
    <row r="296" s="28" customFormat="1" x14ac:dyDescent="0.25"/>
    <row r="297" s="28" customFormat="1" x14ac:dyDescent="0.25"/>
    <row r="298" s="28" customFormat="1" x14ac:dyDescent="0.25"/>
    <row r="299" s="28" customFormat="1" x14ac:dyDescent="0.25"/>
    <row r="300" s="28" customFormat="1" x14ac:dyDescent="0.25"/>
    <row r="301" s="28" customFormat="1" x14ac:dyDescent="0.25"/>
    <row r="302" s="28" customFormat="1" x14ac:dyDescent="0.25"/>
    <row r="303" s="28" customFormat="1" x14ac:dyDescent="0.25"/>
    <row r="304" s="28" customFormat="1" x14ac:dyDescent="0.25"/>
    <row r="305" s="28" customFormat="1" x14ac:dyDescent="0.25"/>
    <row r="306" s="28" customFormat="1" x14ac:dyDescent="0.25"/>
    <row r="307" s="28" customFormat="1" x14ac:dyDescent="0.25"/>
    <row r="308" s="28" customFormat="1" x14ac:dyDescent="0.25"/>
    <row r="309" s="28" customFormat="1" x14ac:dyDescent="0.25"/>
    <row r="310" s="28" customFormat="1" x14ac:dyDescent="0.25"/>
    <row r="311" s="28" customFormat="1" x14ac:dyDescent="0.25"/>
    <row r="312" s="28" customFormat="1" x14ac:dyDescent="0.25"/>
    <row r="313" s="28" customFormat="1" x14ac:dyDescent="0.25"/>
    <row r="314" s="28" customFormat="1" x14ac:dyDescent="0.25"/>
    <row r="315" s="28" customFormat="1" x14ac:dyDescent="0.25"/>
    <row r="316" s="28" customFormat="1" x14ac:dyDescent="0.25"/>
    <row r="317" s="28" customFormat="1" x14ac:dyDescent="0.25"/>
    <row r="318" s="28" customFormat="1" x14ac:dyDescent="0.25"/>
    <row r="319" s="28" customFormat="1" x14ac:dyDescent="0.25"/>
  </sheetData>
  <mergeCells count="1">
    <mergeCell ref="I10:P14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Main</vt:lpstr>
      <vt:lpstr>Christine Withers</vt:lpstr>
      <vt:lpstr>Connie Tillman</vt:lpstr>
      <vt:lpstr>CPT Jordan</vt:lpstr>
      <vt:lpstr>CPT Setu Mala</vt:lpstr>
      <vt:lpstr>CPT Varner</vt:lpstr>
      <vt:lpstr>Cynthia Smith</vt:lpstr>
      <vt:lpstr>MAJ Vogt</vt:lpstr>
      <vt:lpstr>Melinda Baggs</vt:lpstr>
      <vt:lpstr>Melisa Lyle</vt:lpstr>
      <vt:lpstr>Taquisha Edwards</vt:lpstr>
      <vt:lpstr>Blank</vt:lpstr>
      <vt:lpstr>EmployeeRange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Berkhead;Luz N. Barreto;Ryan Zarley</dc:creator>
  <cp:lastModifiedBy>jcnp84</cp:lastModifiedBy>
  <dcterms:created xsi:type="dcterms:W3CDTF">2015-08-02T03:10:32Z</dcterms:created>
  <dcterms:modified xsi:type="dcterms:W3CDTF">2016-04-20T14:05:49Z</dcterms:modified>
</cp:coreProperties>
</file>